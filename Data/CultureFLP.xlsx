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lookuga-my.sharepoint.com/personal/ccz99536_uga_edu/Documents/Cruises/NES_CCS_Comparison/AcidotropicManuscript/AcidotropicDyes/Data/"/>
    </mc:Choice>
  </mc:AlternateContent>
  <xr:revisionPtr revIDLastSave="626" documentId="8_{976B7C3B-B834-2A4C-A1AE-E694B56BC778}" xr6:coauthVersionLast="47" xr6:coauthVersionMax="47" xr10:uidLastSave="{32896BED-E54E-8A4A-A078-F29FB450A561}"/>
  <bookViews>
    <workbookView xWindow="2640" yWindow="660" windowWidth="19080" windowHeight="18980" activeTab="2" xr2:uid="{B6F7C1C0-5192-CC47-A1D2-D0875B587AFE}"/>
  </bookViews>
  <sheets>
    <sheet name="FLP" sheetId="1" r:id="rId1"/>
    <sheet name="FLP_toplot" sheetId="7" r:id="rId2"/>
    <sheet name="Raw_FLP" sheetId="6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51" i="6" l="1"/>
  <c r="Q53" i="6"/>
  <c r="Q49" i="6"/>
  <c r="Q45" i="6"/>
  <c r="Q47" i="6"/>
  <c r="Q43" i="6"/>
  <c r="Q39" i="6"/>
  <c r="Q41" i="6"/>
  <c r="Q37" i="6"/>
  <c r="M37" i="6"/>
  <c r="M39" i="6"/>
  <c r="M41" i="6"/>
  <c r="M43" i="6"/>
  <c r="M45" i="6"/>
  <c r="M47" i="6"/>
  <c r="M49" i="6"/>
  <c r="M51" i="6"/>
  <c r="M53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35" i="6"/>
  <c r="Q17" i="6"/>
  <c r="M31" i="6"/>
  <c r="Q31" i="6" s="1"/>
  <c r="L4" i="6"/>
  <c r="L5" i="6"/>
  <c r="L6" i="6"/>
  <c r="L7" i="6"/>
  <c r="M7" i="6" s="1"/>
  <c r="Q6" i="6" s="1"/>
  <c r="L8" i="6"/>
  <c r="L9" i="6"/>
  <c r="M9" i="6" s="1"/>
  <c r="Q9" i="6" s="1"/>
  <c r="L10" i="6"/>
  <c r="L11" i="6"/>
  <c r="L12" i="6"/>
  <c r="L13" i="6"/>
  <c r="M13" i="6" s="1"/>
  <c r="Q13" i="6" s="1"/>
  <c r="L14" i="6"/>
  <c r="L15" i="6"/>
  <c r="M15" i="6" s="1"/>
  <c r="Q15" i="6" s="1"/>
  <c r="L16" i="6"/>
  <c r="L17" i="6"/>
  <c r="M17" i="6" s="1"/>
  <c r="L18" i="6"/>
  <c r="L19" i="6"/>
  <c r="M19" i="6" s="1"/>
  <c r="Q19" i="6" s="1"/>
  <c r="L20" i="6"/>
  <c r="L21" i="6"/>
  <c r="M21" i="6" s="1"/>
  <c r="Q21" i="6" s="1"/>
  <c r="L22" i="6"/>
  <c r="L23" i="6"/>
  <c r="M23" i="6" s="1"/>
  <c r="Q23" i="6" s="1"/>
  <c r="L24" i="6"/>
  <c r="L25" i="6"/>
  <c r="M25" i="6" s="1"/>
  <c r="Q25" i="6" s="1"/>
  <c r="L26" i="6"/>
  <c r="L27" i="6"/>
  <c r="M27" i="6" s="1"/>
  <c r="Q27" i="6" s="1"/>
  <c r="L28" i="6"/>
  <c r="L29" i="6"/>
  <c r="M29" i="6" s="1"/>
  <c r="Q29" i="6" s="1"/>
  <c r="L30" i="6"/>
  <c r="L31" i="6"/>
  <c r="L32" i="6"/>
  <c r="L33" i="6"/>
  <c r="M33" i="6" s="1"/>
  <c r="Q33" i="6" s="1"/>
  <c r="L34" i="6"/>
  <c r="M35" i="6"/>
  <c r="Q35" i="6" s="1"/>
  <c r="L3" i="6"/>
  <c r="L2" i="6"/>
  <c r="J3" i="6"/>
  <c r="J4" i="6"/>
  <c r="J5" i="6"/>
  <c r="K5" i="6" s="1"/>
  <c r="J6" i="6"/>
  <c r="J7" i="6"/>
  <c r="K7" i="6" s="1"/>
  <c r="J8" i="6"/>
  <c r="J9" i="6"/>
  <c r="J10" i="6"/>
  <c r="J11" i="6"/>
  <c r="K11" i="6" s="1"/>
  <c r="J18" i="6"/>
  <c r="J19" i="6"/>
  <c r="J20" i="6"/>
  <c r="J21" i="6"/>
  <c r="K21" i="6" s="1"/>
  <c r="J22" i="6"/>
  <c r="J23" i="6"/>
  <c r="K23" i="6" s="1"/>
  <c r="J24" i="6"/>
  <c r="J25" i="6"/>
  <c r="K25" i="6" s="1"/>
  <c r="J26" i="6"/>
  <c r="J27" i="6"/>
  <c r="K27" i="6" s="1"/>
  <c r="J28" i="6"/>
  <c r="J29" i="6"/>
  <c r="K29" i="6" s="1"/>
  <c r="J30" i="6"/>
  <c r="J31" i="6"/>
  <c r="J32" i="6"/>
  <c r="J33" i="6"/>
  <c r="K33" i="6" s="1"/>
  <c r="J34" i="6"/>
  <c r="J35" i="6"/>
  <c r="J2" i="6"/>
  <c r="S24" i="6" l="1"/>
  <c r="R24" i="6"/>
  <c r="R9" i="6"/>
  <c r="S9" i="6"/>
  <c r="R13" i="6"/>
  <c r="S13" i="6"/>
  <c r="S18" i="6"/>
  <c r="R18" i="6"/>
  <c r="R30" i="6"/>
  <c r="S30" i="6"/>
  <c r="K35" i="6"/>
  <c r="K3" i="6"/>
  <c r="O2" i="6" s="1"/>
  <c r="K31" i="6"/>
  <c r="K9" i="6"/>
  <c r="N9" i="6" s="1"/>
  <c r="M5" i="6"/>
  <c r="Q4" i="6" s="1"/>
  <c r="M3" i="6"/>
  <c r="Q2" i="6" s="1"/>
  <c r="M11" i="6"/>
  <c r="Q11" i="6" s="1"/>
  <c r="K19" i="6"/>
  <c r="N2" i="6"/>
  <c r="O9" i="6"/>
  <c r="S2" i="6" l="1"/>
  <c r="R2" i="6"/>
</calcChain>
</file>

<file path=xl/sharedStrings.xml><?xml version="1.0" encoding="utf-8"?>
<sst xmlns="http://schemas.openxmlformats.org/spreadsheetml/2006/main" count="313" uniqueCount="74">
  <si>
    <t>Culture</t>
  </si>
  <si>
    <t>Replicate</t>
  </si>
  <si>
    <t xml:space="preserve">Tetraselmis sp. </t>
  </si>
  <si>
    <t>A</t>
  </si>
  <si>
    <t>B</t>
  </si>
  <si>
    <t>C</t>
  </si>
  <si>
    <t>Timepoint</t>
  </si>
  <si>
    <t>subpercent</t>
  </si>
  <si>
    <t>T0</t>
  </si>
  <si>
    <t>T1</t>
  </si>
  <si>
    <t>T. chui</t>
  </si>
  <si>
    <t>CSGR</t>
  </si>
  <si>
    <t>G. oceanica</t>
  </si>
  <si>
    <t>A. sanguinea</t>
  </si>
  <si>
    <t xml:space="preserve">Ochromonas sp. </t>
  </si>
  <si>
    <t>G. cryophila</t>
  </si>
  <si>
    <t>M. antarctica</t>
  </si>
  <si>
    <t>P. tychotreta</t>
  </si>
  <si>
    <t>DateCounted</t>
  </si>
  <si>
    <t>RedCells</t>
  </si>
  <si>
    <t>RedwithBead</t>
  </si>
  <si>
    <t>NumBeads</t>
  </si>
  <si>
    <t>Squares</t>
  </si>
  <si>
    <t>Objective</t>
  </si>
  <si>
    <t>Percent</t>
  </si>
  <si>
    <t>IR</t>
  </si>
  <si>
    <t>subIR</t>
  </si>
  <si>
    <t>avpercent</t>
  </si>
  <si>
    <t>sdpercent</t>
  </si>
  <si>
    <t>bacteria</t>
  </si>
  <si>
    <t>avCSGR</t>
  </si>
  <si>
    <t>sdCSGR</t>
  </si>
  <si>
    <t>G. huxleyi</t>
  </si>
  <si>
    <t>Name</t>
  </si>
  <si>
    <t>Type</t>
  </si>
  <si>
    <t>Metabolism</t>
  </si>
  <si>
    <t>A. sanguinea</t>
  </si>
  <si>
    <t>Dinophyceae</t>
  </si>
  <si>
    <t>Mixotroph</t>
  </si>
  <si>
    <t>C. neogracile</t>
  </si>
  <si>
    <t>Bacillariophyceae</t>
  </si>
  <si>
    <t>Autotroph</t>
  </si>
  <si>
    <t>Chaetoceros sp. 02</t>
  </si>
  <si>
    <t>Chaetoceros sp. 12</t>
  </si>
  <si>
    <t>Chaetoceros sp. 22</t>
  </si>
  <si>
    <t>Chlamydomonas sp.</t>
  </si>
  <si>
    <t>Chlorophyceae</t>
  </si>
  <si>
    <t>F. cylindrus</t>
  </si>
  <si>
    <t>G. cryophila</t>
  </si>
  <si>
    <t>Cryptophyceae</t>
  </si>
  <si>
    <t>G. huxleyi</t>
  </si>
  <si>
    <t>Prymnesiophyceae</t>
  </si>
  <si>
    <t>G. oceanica</t>
  </si>
  <si>
    <t>M. antarctica</t>
  </si>
  <si>
    <t>Mamiellophyceae</t>
  </si>
  <si>
    <t>M. polaris</t>
  </si>
  <si>
    <t>O. rostrata</t>
  </si>
  <si>
    <t>Chrysophyceae</t>
  </si>
  <si>
    <t>Odontella sp.</t>
  </si>
  <si>
    <t>P. micans</t>
  </si>
  <si>
    <t>P. subcurvata</t>
  </si>
  <si>
    <t>P. tricornutum</t>
  </si>
  <si>
    <t>P. tychotreta</t>
  </si>
  <si>
    <t>Pyramimonadophyceae</t>
  </si>
  <si>
    <t>T. chui</t>
  </si>
  <si>
    <t>Chlorodendrophyceae</t>
  </si>
  <si>
    <t>Tetraselmis sp.</t>
  </si>
  <si>
    <t>AvGrazing</t>
  </si>
  <si>
    <t>SdGrazing</t>
  </si>
  <si>
    <t>P. micans</t>
  </si>
  <si>
    <t>Ochromonas sp. 2951</t>
  </si>
  <si>
    <t>Ochromonas sp. 1393</t>
  </si>
  <si>
    <t>Ochromonas sp. 2951</t>
  </si>
  <si>
    <t>Ochromonas sp. 1393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</si>
</sst>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Lucida Grande"/>
      <family val="2"/>
    </font>
    <font>
      <b/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0" fontId="1" fillId="0" borderId="0" xfId="0" applyNumberFormat="1" applyFont="1"/>
    <xf numFmtId="0" fontId="2" fillId="0" borderId="0" xfId="0" applyFont="1"/>
    <xf numFmtId="0" fontId="1" fillId="0" borderId="0" xfId="0" applyFont="1"/>
    <xf numFmtId="11" fontId="1" fillId="0" borderId="0" xfId="0" applyNumberFormat="1" applyFont="1"/>
    <xf numFmtId="14" fontId="1" fillId="0" borderId="0" xfId="0" applyNumberFormat="1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04D2F-6EF8-2C4B-8971-059F8F12C050}">
  <dimension ref="A1:H34"/>
  <sheetViews>
    <sheetView workbookViewId="0">
      <selection activeCell="C36" sqref="C36"/>
    </sheetView>
  </sheetViews>
  <sheetFormatPr baseColWidth="10" defaultRowHeight="16" x14ac:dyDescent="0.2"/>
  <cols>
    <col min="1" max="1" width="18.6640625" bestFit="1" customWidth="1"/>
    <col min="3" max="3" width="12.6640625" bestFit="1" customWidth="1"/>
  </cols>
  <sheetData>
    <row r="1" spans="1:8" x14ac:dyDescent="0.2">
      <c r="A1" t="s">
        <v>0</v>
      </c>
      <c r="B1" t="s">
        <v>1</v>
      </c>
      <c r="C1" t="s">
        <v>11</v>
      </c>
    </row>
    <row r="2" spans="1:8" x14ac:dyDescent="0.2">
      <c r="A2" t="s">
        <v>2</v>
      </c>
      <c r="B2" t="s">
        <v>3</v>
      </c>
      <c r="C2" s="3">
        <v>7.0000000000000007E-2</v>
      </c>
    </row>
    <row r="3" spans="1:8" x14ac:dyDescent="0.2">
      <c r="A3" t="s">
        <v>2</v>
      </c>
      <c r="B3" t="s">
        <v>4</v>
      </c>
      <c r="C3" s="3">
        <v>0.04</v>
      </c>
    </row>
    <row r="4" spans="1:8" x14ac:dyDescent="0.2">
      <c r="A4" t="s">
        <v>2</v>
      </c>
      <c r="B4" t="s">
        <v>5</v>
      </c>
      <c r="C4" s="3">
        <v>0.05</v>
      </c>
    </row>
    <row r="5" spans="1:8" x14ac:dyDescent="0.2">
      <c r="A5" t="s">
        <v>10</v>
      </c>
      <c r="B5" t="s">
        <v>3</v>
      </c>
      <c r="C5" s="3">
        <v>0.02</v>
      </c>
    </row>
    <row r="6" spans="1:8" x14ac:dyDescent="0.2">
      <c r="A6" t="s">
        <v>10</v>
      </c>
      <c r="B6" t="s">
        <v>4</v>
      </c>
      <c r="C6" s="3">
        <v>0.02</v>
      </c>
    </row>
    <row r="7" spans="1:8" x14ac:dyDescent="0.2">
      <c r="A7" t="s">
        <v>10</v>
      </c>
      <c r="B7" t="s">
        <v>5</v>
      </c>
      <c r="C7" s="3">
        <v>0.04</v>
      </c>
    </row>
    <row r="8" spans="1:8" x14ac:dyDescent="0.2">
      <c r="A8" t="s">
        <v>12</v>
      </c>
      <c r="B8" t="s">
        <v>3</v>
      </c>
      <c r="C8" s="4">
        <v>5.8500000000000003E-2</v>
      </c>
    </row>
    <row r="9" spans="1:8" x14ac:dyDescent="0.2">
      <c r="A9" t="s">
        <v>12</v>
      </c>
      <c r="B9" t="s">
        <v>4</v>
      </c>
      <c r="C9" s="4">
        <v>4.8800000000000003E-2</v>
      </c>
    </row>
    <row r="10" spans="1:8" x14ac:dyDescent="0.2">
      <c r="A10" t="s">
        <v>12</v>
      </c>
      <c r="B10" t="s">
        <v>5</v>
      </c>
      <c r="C10" s="4">
        <v>2.9000000000000001E-2</v>
      </c>
    </row>
    <row r="11" spans="1:8" x14ac:dyDescent="0.2">
      <c r="A11" t="s">
        <v>32</v>
      </c>
      <c r="B11" t="s">
        <v>4</v>
      </c>
      <c r="C11" s="3">
        <v>0.09</v>
      </c>
      <c r="H11" s="3"/>
    </row>
    <row r="12" spans="1:8" x14ac:dyDescent="0.2">
      <c r="A12" t="s">
        <v>32</v>
      </c>
      <c r="B12" t="s">
        <v>5</v>
      </c>
      <c r="C12" s="3">
        <v>0.1</v>
      </c>
      <c r="H12" s="3"/>
    </row>
    <row r="13" spans="1:8" x14ac:dyDescent="0.2">
      <c r="A13" t="s">
        <v>13</v>
      </c>
      <c r="B13" t="s">
        <v>3</v>
      </c>
      <c r="C13" s="3">
        <v>3.1720000000000002</v>
      </c>
      <c r="H13" s="3"/>
    </row>
    <row r="14" spans="1:8" x14ac:dyDescent="0.2">
      <c r="A14" t="s">
        <v>13</v>
      </c>
      <c r="B14" t="s">
        <v>4</v>
      </c>
      <c r="C14" s="3">
        <v>1.895</v>
      </c>
      <c r="H14" s="3"/>
    </row>
    <row r="15" spans="1:8" x14ac:dyDescent="0.2">
      <c r="A15" t="s">
        <v>13</v>
      </c>
      <c r="B15" t="s">
        <v>5</v>
      </c>
      <c r="C15" s="3">
        <v>3.081</v>
      </c>
      <c r="H15" s="3"/>
    </row>
    <row r="16" spans="1:8" x14ac:dyDescent="0.2">
      <c r="A16" t="s">
        <v>71</v>
      </c>
      <c r="B16" t="s">
        <v>3</v>
      </c>
      <c r="C16" s="3">
        <v>0.15</v>
      </c>
      <c r="H16" s="3"/>
    </row>
    <row r="17" spans="1:7" x14ac:dyDescent="0.2">
      <c r="A17" t="s">
        <v>71</v>
      </c>
      <c r="B17" t="s">
        <v>4</v>
      </c>
      <c r="C17" s="3">
        <v>0.17</v>
      </c>
    </row>
    <row r="18" spans="1:7" x14ac:dyDescent="0.2">
      <c r="A18" t="s">
        <v>71</v>
      </c>
      <c r="B18" t="s">
        <v>5</v>
      </c>
      <c r="C18" s="3">
        <v>0.13</v>
      </c>
    </row>
    <row r="19" spans="1:7" x14ac:dyDescent="0.2">
      <c r="A19" t="s">
        <v>15</v>
      </c>
      <c r="B19" t="s">
        <v>3</v>
      </c>
      <c r="C19" s="3">
        <v>0.04</v>
      </c>
    </row>
    <row r="20" spans="1:7" x14ac:dyDescent="0.2">
      <c r="A20" t="s">
        <v>15</v>
      </c>
      <c r="B20" t="s">
        <v>4</v>
      </c>
      <c r="C20" s="3">
        <v>0.08</v>
      </c>
    </row>
    <row r="21" spans="1:7" x14ac:dyDescent="0.2">
      <c r="A21" t="s">
        <v>15</v>
      </c>
      <c r="B21" t="s">
        <v>5</v>
      </c>
      <c r="C21" s="3">
        <v>0.09</v>
      </c>
    </row>
    <row r="22" spans="1:7" x14ac:dyDescent="0.2">
      <c r="A22" t="s">
        <v>16</v>
      </c>
      <c r="B22" t="s">
        <v>3</v>
      </c>
      <c r="C22" s="3">
        <v>0.04</v>
      </c>
    </row>
    <row r="23" spans="1:7" x14ac:dyDescent="0.2">
      <c r="A23" t="s">
        <v>16</v>
      </c>
      <c r="B23" t="s">
        <v>4</v>
      </c>
      <c r="C23" s="3">
        <v>0.1</v>
      </c>
    </row>
    <row r="24" spans="1:7" x14ac:dyDescent="0.2">
      <c r="A24" t="s">
        <v>16</v>
      </c>
      <c r="B24" t="s">
        <v>5</v>
      </c>
      <c r="C24" s="3">
        <v>0.04</v>
      </c>
    </row>
    <row r="25" spans="1:7" x14ac:dyDescent="0.2">
      <c r="A25" t="s">
        <v>17</v>
      </c>
      <c r="B25" t="s">
        <v>3</v>
      </c>
      <c r="C25" s="3">
        <v>0.1</v>
      </c>
    </row>
    <row r="26" spans="1:7" x14ac:dyDescent="0.2">
      <c r="A26" t="s">
        <v>17</v>
      </c>
      <c r="B26" t="s">
        <v>4</v>
      </c>
      <c r="C26" s="3">
        <v>0.09</v>
      </c>
    </row>
    <row r="27" spans="1:7" x14ac:dyDescent="0.2">
      <c r="A27" t="s">
        <v>17</v>
      </c>
      <c r="B27" t="s">
        <v>5</v>
      </c>
      <c r="C27" s="3">
        <v>0.05</v>
      </c>
    </row>
    <row r="28" spans="1:7" x14ac:dyDescent="0.2">
      <c r="A28" t="s">
        <v>69</v>
      </c>
      <c r="B28" t="s">
        <v>3</v>
      </c>
      <c r="C28" s="3">
        <v>0.79800000000000004</v>
      </c>
    </row>
    <row r="29" spans="1:7" x14ac:dyDescent="0.2">
      <c r="A29" t="s">
        <v>69</v>
      </c>
      <c r="B29" t="s">
        <v>4</v>
      </c>
      <c r="C29" s="3">
        <v>1.1080000000000001</v>
      </c>
      <c r="G29" s="3"/>
    </row>
    <row r="30" spans="1:7" x14ac:dyDescent="0.2">
      <c r="A30" t="s">
        <v>69</v>
      </c>
      <c r="B30" t="s">
        <v>5</v>
      </c>
      <c r="C30" s="3">
        <v>0.97299999999999998</v>
      </c>
    </row>
    <row r="31" spans="1:7" x14ac:dyDescent="0.2">
      <c r="A31" t="s">
        <v>70</v>
      </c>
      <c r="B31" t="s">
        <v>3</v>
      </c>
      <c r="C31" s="3">
        <v>9.5000000000000001E-2</v>
      </c>
      <c r="G31" s="3"/>
    </row>
    <row r="32" spans="1:7" x14ac:dyDescent="0.2">
      <c r="A32" t="s">
        <v>70</v>
      </c>
      <c r="B32" t="s">
        <v>4</v>
      </c>
      <c r="C32" s="3">
        <v>0.109</v>
      </c>
    </row>
    <row r="33" spans="1:3" x14ac:dyDescent="0.2">
      <c r="A33" t="s">
        <v>70</v>
      </c>
      <c r="B33" t="s">
        <v>5</v>
      </c>
      <c r="C33" s="3">
        <v>7.1999999999999995E-2</v>
      </c>
    </row>
    <row r="34" spans="1:3" x14ac:dyDescent="0.2">
      <c r="C3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53DBF-502F-D949-AC03-801E6814AA30}">
  <dimension ref="A1:E23"/>
  <sheetViews>
    <sheetView workbookViewId="0">
      <selection activeCell="A16" sqref="A16"/>
    </sheetView>
  </sheetViews>
  <sheetFormatPr baseColWidth="10" defaultRowHeight="16" x14ac:dyDescent="0.2"/>
  <cols>
    <col min="1" max="1" width="19.33203125" bestFit="1" customWidth="1"/>
    <col min="2" max="2" width="22.1640625" bestFit="1" customWidth="1"/>
    <col min="3" max="3" width="12" bestFit="1" customWidth="1"/>
  </cols>
  <sheetData>
    <row r="1" spans="1:5" x14ac:dyDescent="0.2">
      <c r="A1" s="7" t="s">
        <v>33</v>
      </c>
      <c r="B1" s="7" t="s">
        <v>34</v>
      </c>
      <c r="C1" s="7" t="s">
        <v>35</v>
      </c>
      <c r="D1" s="7" t="s">
        <v>67</v>
      </c>
      <c r="E1" s="7" t="s">
        <v>68</v>
      </c>
    </row>
    <row r="2" spans="1:5" x14ac:dyDescent="0.2">
      <c r="A2" s="6" t="s">
        <v>36</v>
      </c>
      <c r="B2" s="6" t="s">
        <v>37</v>
      </c>
      <c r="C2" s="6" t="s">
        <v>38</v>
      </c>
      <c r="D2" s="3">
        <v>2.7160000000000002</v>
      </c>
      <c r="E2" s="3">
        <v>0.71199999999999997</v>
      </c>
    </row>
    <row r="3" spans="1:5" x14ac:dyDescent="0.2">
      <c r="A3" s="6" t="s">
        <v>39</v>
      </c>
      <c r="B3" s="6" t="s">
        <v>40</v>
      </c>
      <c r="C3" s="6" t="s">
        <v>41</v>
      </c>
      <c r="D3">
        <v>0</v>
      </c>
      <c r="E3">
        <v>0</v>
      </c>
    </row>
    <row r="4" spans="1:5" x14ac:dyDescent="0.2">
      <c r="A4" s="6" t="s">
        <v>42</v>
      </c>
      <c r="B4" s="6" t="s">
        <v>40</v>
      </c>
      <c r="C4" s="6" t="s">
        <v>41</v>
      </c>
      <c r="D4">
        <v>0</v>
      </c>
      <c r="E4">
        <v>0</v>
      </c>
    </row>
    <row r="5" spans="1:5" x14ac:dyDescent="0.2">
      <c r="A5" s="6" t="s">
        <v>43</v>
      </c>
      <c r="B5" s="6" t="s">
        <v>40</v>
      </c>
      <c r="C5" s="6" t="s">
        <v>41</v>
      </c>
      <c r="D5">
        <v>0</v>
      </c>
      <c r="E5">
        <v>0</v>
      </c>
    </row>
    <row r="6" spans="1:5" x14ac:dyDescent="0.2">
      <c r="A6" s="6" t="s">
        <v>44</v>
      </c>
      <c r="B6" s="6" t="s">
        <v>40</v>
      </c>
      <c r="C6" s="6" t="s">
        <v>41</v>
      </c>
      <c r="D6">
        <v>0</v>
      </c>
      <c r="E6">
        <v>0</v>
      </c>
    </row>
    <row r="7" spans="1:5" x14ac:dyDescent="0.2">
      <c r="A7" s="6" t="s">
        <v>45</v>
      </c>
      <c r="B7" s="6" t="s">
        <v>46</v>
      </c>
      <c r="C7" s="6" t="s">
        <v>41</v>
      </c>
      <c r="D7">
        <v>0</v>
      </c>
      <c r="E7">
        <v>0</v>
      </c>
    </row>
    <row r="8" spans="1:5" x14ac:dyDescent="0.2">
      <c r="A8" s="6" t="s">
        <v>47</v>
      </c>
      <c r="B8" s="6" t="s">
        <v>40</v>
      </c>
      <c r="C8" s="6" t="s">
        <v>41</v>
      </c>
      <c r="D8">
        <v>0</v>
      </c>
      <c r="E8">
        <v>0</v>
      </c>
    </row>
    <row r="9" spans="1:5" x14ac:dyDescent="0.2">
      <c r="A9" s="6" t="s">
        <v>48</v>
      </c>
      <c r="B9" s="6" t="s">
        <v>49</v>
      </c>
      <c r="C9" s="6" t="s">
        <v>38</v>
      </c>
      <c r="D9">
        <v>7.0000000000000007E-2</v>
      </c>
      <c r="E9">
        <v>2.6457512999999998E-2</v>
      </c>
    </row>
    <row r="10" spans="1:5" x14ac:dyDescent="0.2">
      <c r="A10" s="6" t="s">
        <v>50</v>
      </c>
      <c r="B10" s="6" t="s">
        <v>51</v>
      </c>
      <c r="C10" s="6" t="s">
        <v>38</v>
      </c>
      <c r="D10">
        <v>9.5000000000000001E-2</v>
      </c>
      <c r="E10">
        <v>7.0710679999999998E-3</v>
      </c>
    </row>
    <row r="11" spans="1:5" x14ac:dyDescent="0.2">
      <c r="A11" s="6" t="s">
        <v>52</v>
      </c>
      <c r="B11" s="6" t="s">
        <v>51</v>
      </c>
      <c r="C11" s="6" t="s">
        <v>38</v>
      </c>
      <c r="D11">
        <v>4.5433330000000001E-2</v>
      </c>
      <c r="E11">
        <v>1.5035402999999999E-2</v>
      </c>
    </row>
    <row r="12" spans="1:5" x14ac:dyDescent="0.2">
      <c r="A12" s="6" t="s">
        <v>53</v>
      </c>
      <c r="B12" s="6" t="s">
        <v>54</v>
      </c>
      <c r="C12" s="6" t="s">
        <v>38</v>
      </c>
      <c r="D12">
        <v>0.06</v>
      </c>
      <c r="E12">
        <v>3.4641015999999997E-2</v>
      </c>
    </row>
    <row r="13" spans="1:5" x14ac:dyDescent="0.2">
      <c r="A13" s="6" t="s">
        <v>55</v>
      </c>
      <c r="B13" s="6" t="s">
        <v>54</v>
      </c>
      <c r="C13" s="6" t="s">
        <v>41</v>
      </c>
      <c r="D13">
        <v>0</v>
      </c>
      <c r="E13">
        <v>0</v>
      </c>
    </row>
    <row r="14" spans="1:5" x14ac:dyDescent="0.2">
      <c r="A14" s="6" t="s">
        <v>56</v>
      </c>
      <c r="B14" s="6" t="s">
        <v>40</v>
      </c>
      <c r="C14" s="6" t="s">
        <v>41</v>
      </c>
      <c r="D14">
        <v>0</v>
      </c>
      <c r="E14">
        <v>0</v>
      </c>
    </row>
    <row r="15" spans="1:5" x14ac:dyDescent="0.2">
      <c r="A15" s="6" t="s">
        <v>73</v>
      </c>
      <c r="B15" s="6" t="s">
        <v>57</v>
      </c>
      <c r="C15" s="6" t="s">
        <v>38</v>
      </c>
      <c r="D15">
        <v>0.15</v>
      </c>
      <c r="E15">
        <v>0.02</v>
      </c>
    </row>
    <row r="16" spans="1:5" x14ac:dyDescent="0.2">
      <c r="A16" s="6" t="s">
        <v>58</v>
      </c>
      <c r="B16" s="6" t="s">
        <v>40</v>
      </c>
      <c r="C16" s="6" t="s">
        <v>41</v>
      </c>
      <c r="D16">
        <v>0</v>
      </c>
      <c r="E16">
        <v>0</v>
      </c>
    </row>
    <row r="17" spans="1:5" x14ac:dyDescent="0.2">
      <c r="A17" s="6" t="s">
        <v>59</v>
      </c>
      <c r="B17" s="6" t="s">
        <v>37</v>
      </c>
      <c r="C17" s="6" t="s">
        <v>38</v>
      </c>
      <c r="D17" s="3">
        <v>0.95899999999999996</v>
      </c>
      <c r="E17" s="3">
        <v>0.155</v>
      </c>
    </row>
    <row r="18" spans="1:5" x14ac:dyDescent="0.2">
      <c r="A18" s="6" t="s">
        <v>60</v>
      </c>
      <c r="B18" s="6" t="s">
        <v>40</v>
      </c>
      <c r="C18" s="6" t="s">
        <v>41</v>
      </c>
      <c r="D18">
        <v>0</v>
      </c>
      <c r="E18">
        <v>0</v>
      </c>
    </row>
    <row r="19" spans="1:5" x14ac:dyDescent="0.2">
      <c r="A19" s="6" t="s">
        <v>61</v>
      </c>
      <c r="B19" s="6" t="s">
        <v>40</v>
      </c>
      <c r="C19" s="6" t="s">
        <v>41</v>
      </c>
      <c r="D19">
        <v>0</v>
      </c>
      <c r="E19">
        <v>0</v>
      </c>
    </row>
    <row r="20" spans="1:5" x14ac:dyDescent="0.2">
      <c r="A20" s="6" t="s">
        <v>62</v>
      </c>
      <c r="B20" s="6" t="s">
        <v>63</v>
      </c>
      <c r="C20" s="6" t="s">
        <v>38</v>
      </c>
      <c r="D20">
        <v>0.08</v>
      </c>
      <c r="E20">
        <v>2.6457512999999998E-2</v>
      </c>
    </row>
    <row r="21" spans="1:5" x14ac:dyDescent="0.2">
      <c r="A21" s="6" t="s">
        <v>64</v>
      </c>
      <c r="B21" s="6" t="s">
        <v>65</v>
      </c>
      <c r="C21" s="6" t="s">
        <v>38</v>
      </c>
      <c r="D21">
        <v>2.666667E-2</v>
      </c>
      <c r="E21">
        <v>1.1547005000000001E-2</v>
      </c>
    </row>
    <row r="22" spans="1:5" x14ac:dyDescent="0.2">
      <c r="A22" s="6" t="s">
        <v>66</v>
      </c>
      <c r="B22" s="6" t="s">
        <v>65</v>
      </c>
      <c r="C22" s="6" t="s">
        <v>38</v>
      </c>
      <c r="D22">
        <v>5.3333329999999998E-2</v>
      </c>
      <c r="E22">
        <v>1.5275252E-2</v>
      </c>
    </row>
    <row r="23" spans="1:5" x14ac:dyDescent="0.2">
      <c r="A23" s="6" t="s">
        <v>72</v>
      </c>
      <c r="B23" s="6" t="s">
        <v>57</v>
      </c>
      <c r="C23" s="6" t="s">
        <v>38</v>
      </c>
      <c r="D23">
        <v>9.1999999999999998E-2</v>
      </c>
      <c r="E23">
        <v>1.9E-2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ED76-0FA4-1944-9CCC-BED39B4A76AC}">
  <dimension ref="A1:S53"/>
  <sheetViews>
    <sheetView tabSelected="1" topLeftCell="A20" workbookViewId="0">
      <selection activeCell="K36" sqref="K36"/>
    </sheetView>
  </sheetViews>
  <sheetFormatPr baseColWidth="10" defaultRowHeight="16" x14ac:dyDescent="0.2"/>
  <cols>
    <col min="2" max="2" width="14.33203125" bestFit="1" customWidth="1"/>
  </cols>
  <sheetData>
    <row r="1" spans="1:19" x14ac:dyDescent="0.2">
      <c r="A1" s="2" t="s">
        <v>18</v>
      </c>
      <c r="B1" s="2" t="s">
        <v>0</v>
      </c>
      <c r="C1" s="2" t="s">
        <v>6</v>
      </c>
      <c r="D1" s="2" t="s">
        <v>1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7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11</v>
      </c>
      <c r="R1" s="2" t="s">
        <v>30</v>
      </c>
      <c r="S1" s="2" t="s">
        <v>31</v>
      </c>
    </row>
    <row r="2" spans="1:19" x14ac:dyDescent="0.2">
      <c r="A2" s="5">
        <v>46043</v>
      </c>
      <c r="B2" s="3" t="s">
        <v>12</v>
      </c>
      <c r="C2" s="3" t="s">
        <v>8</v>
      </c>
      <c r="D2" s="3" t="s">
        <v>3</v>
      </c>
      <c r="E2" s="3">
        <v>400</v>
      </c>
      <c r="F2" s="3">
        <v>3</v>
      </c>
      <c r="G2" s="3">
        <v>3</v>
      </c>
      <c r="H2" s="3">
        <v>75</v>
      </c>
      <c r="I2" s="3">
        <v>100</v>
      </c>
      <c r="J2" s="1">
        <f>F2/(E2)</f>
        <v>7.4999999999999997E-3</v>
      </c>
      <c r="K2" s="3"/>
      <c r="L2" s="3">
        <f>G2/E2</f>
        <v>7.4999999999999997E-3</v>
      </c>
      <c r="M2" s="3"/>
      <c r="N2" s="1">
        <f>AVERAGE(K2:K7)</f>
        <v>9.9855355151455306E-3</v>
      </c>
      <c r="O2" s="1">
        <f>STDEV(K2:K7)</f>
        <v>2.5341654985076342E-3</v>
      </c>
      <c r="P2" s="4">
        <v>1560000</v>
      </c>
      <c r="Q2" s="3">
        <f>M3*(P$2/400000)</f>
        <v>5.8499999999999996E-2</v>
      </c>
      <c r="R2" s="3">
        <f>AVERAGE(Q2:Q7)</f>
        <v>4.5443588509067566E-2</v>
      </c>
      <c r="S2" s="3">
        <f>STDEV(Q2:Q6)</f>
        <v>1.5017608484145637E-2</v>
      </c>
    </row>
    <row r="3" spans="1:19" x14ac:dyDescent="0.2">
      <c r="A3" s="5">
        <v>46043</v>
      </c>
      <c r="B3" s="3" t="s">
        <v>12</v>
      </c>
      <c r="C3" s="3" t="s">
        <v>9</v>
      </c>
      <c r="D3" s="3" t="s">
        <v>3</v>
      </c>
      <c r="E3" s="3">
        <v>400</v>
      </c>
      <c r="F3" s="3">
        <v>7</v>
      </c>
      <c r="G3" s="3">
        <v>9</v>
      </c>
      <c r="H3" s="3">
        <v>68</v>
      </c>
      <c r="I3" s="3">
        <v>100</v>
      </c>
      <c r="J3" s="1">
        <f t="shared" ref="J3:J35" si="0">F3/(E3)</f>
        <v>1.7500000000000002E-2</v>
      </c>
      <c r="K3" s="1">
        <f>J3-J2</f>
        <v>1.0000000000000002E-2</v>
      </c>
      <c r="L3" s="3">
        <f>G3/E3</f>
        <v>2.2499999999999999E-2</v>
      </c>
      <c r="M3" s="3">
        <f>L3-L2</f>
        <v>1.4999999999999999E-2</v>
      </c>
      <c r="N3" s="3"/>
      <c r="O3" s="3"/>
      <c r="P3" s="3"/>
      <c r="Q3" s="3"/>
      <c r="R3" s="3"/>
      <c r="S3" s="3"/>
    </row>
    <row r="4" spans="1:19" x14ac:dyDescent="0.2">
      <c r="A4" s="5">
        <v>46043</v>
      </c>
      <c r="B4" s="3" t="s">
        <v>12</v>
      </c>
      <c r="C4" s="3" t="s">
        <v>8</v>
      </c>
      <c r="D4" s="3" t="s">
        <v>4</v>
      </c>
      <c r="E4" s="3">
        <v>402</v>
      </c>
      <c r="F4" s="3">
        <v>1</v>
      </c>
      <c r="G4" s="3">
        <v>1</v>
      </c>
      <c r="H4" s="3">
        <v>66</v>
      </c>
      <c r="I4" s="3">
        <v>100</v>
      </c>
      <c r="J4" s="1">
        <f t="shared" si="0"/>
        <v>2.4875621890547263E-3</v>
      </c>
      <c r="K4" s="3"/>
      <c r="L4" s="3">
        <f t="shared" ref="L4:L34" si="1">G4/E4</f>
        <v>2.4875621890547263E-3</v>
      </c>
      <c r="M4" s="3"/>
      <c r="N4" s="3"/>
      <c r="O4" s="3"/>
      <c r="P4" s="3"/>
      <c r="Q4" s="3">
        <f t="shared" ref="Q4" si="2">M5*(P$2/400000)</f>
        <v>4.8798507462686568E-2</v>
      </c>
      <c r="R4" s="3"/>
      <c r="S4" s="3"/>
    </row>
    <row r="5" spans="1:19" x14ac:dyDescent="0.2">
      <c r="A5" s="5">
        <v>46043</v>
      </c>
      <c r="B5" s="3" t="s">
        <v>12</v>
      </c>
      <c r="C5" s="3" t="s">
        <v>9</v>
      </c>
      <c r="D5" s="3" t="s">
        <v>4</v>
      </c>
      <c r="E5" s="3">
        <v>400</v>
      </c>
      <c r="F5" s="3">
        <v>6</v>
      </c>
      <c r="G5" s="3">
        <v>6</v>
      </c>
      <c r="H5" s="3">
        <v>54</v>
      </c>
      <c r="I5" s="3">
        <v>100</v>
      </c>
      <c r="J5" s="1">
        <f t="shared" si="0"/>
        <v>1.4999999999999999E-2</v>
      </c>
      <c r="K5" s="1">
        <f t="shared" ref="K5" si="3">J5-J4</f>
        <v>1.2512437810945274E-2</v>
      </c>
      <c r="L5" s="3">
        <f t="shared" si="1"/>
        <v>1.4999999999999999E-2</v>
      </c>
      <c r="M5" s="3">
        <f t="shared" ref="M5" si="4">L5-L4</f>
        <v>1.2512437810945274E-2</v>
      </c>
      <c r="N5" s="3"/>
      <c r="O5" s="3"/>
      <c r="P5" s="3"/>
      <c r="Q5" s="3"/>
      <c r="R5" s="3"/>
      <c r="S5" s="3"/>
    </row>
    <row r="6" spans="1:19" x14ac:dyDescent="0.2">
      <c r="A6" s="5">
        <v>46043</v>
      </c>
      <c r="B6" s="3" t="s">
        <v>12</v>
      </c>
      <c r="C6" s="3" t="s">
        <v>8</v>
      </c>
      <c r="D6" s="3" t="s">
        <v>5</v>
      </c>
      <c r="E6" s="3">
        <v>406</v>
      </c>
      <c r="F6" s="3">
        <v>0</v>
      </c>
      <c r="G6" s="3">
        <v>0</v>
      </c>
      <c r="H6" s="3">
        <v>76</v>
      </c>
      <c r="I6" s="3">
        <v>100</v>
      </c>
      <c r="J6" s="1">
        <f t="shared" si="0"/>
        <v>0</v>
      </c>
      <c r="K6" s="3"/>
      <c r="L6" s="3">
        <f t="shared" si="1"/>
        <v>0</v>
      </c>
      <c r="M6" s="3"/>
      <c r="N6" s="3"/>
      <c r="O6" s="3"/>
      <c r="P6" s="3"/>
      <c r="Q6" s="3">
        <f t="shared" ref="Q6" si="5">M7*(P$2/400000)</f>
        <v>2.9032258064516127E-2</v>
      </c>
      <c r="R6" s="3"/>
      <c r="S6" s="3"/>
    </row>
    <row r="7" spans="1:19" x14ac:dyDescent="0.2">
      <c r="A7" s="5">
        <v>46043</v>
      </c>
      <c r="B7" s="3" t="s">
        <v>12</v>
      </c>
      <c r="C7" s="3" t="s">
        <v>9</v>
      </c>
      <c r="D7" s="3" t="s">
        <v>5</v>
      </c>
      <c r="E7" s="3">
        <v>403</v>
      </c>
      <c r="F7" s="3">
        <v>3</v>
      </c>
      <c r="G7" s="3">
        <v>3</v>
      </c>
      <c r="H7" s="3">
        <v>86</v>
      </c>
      <c r="I7" s="3">
        <v>100</v>
      </c>
      <c r="J7" s="1">
        <f t="shared" si="0"/>
        <v>7.4441687344913151E-3</v>
      </c>
      <c r="K7" s="1">
        <f t="shared" ref="K7" si="6">J7-J6</f>
        <v>7.4441687344913151E-3</v>
      </c>
      <c r="L7" s="3">
        <f t="shared" si="1"/>
        <v>7.4441687344913151E-3</v>
      </c>
      <c r="M7" s="3">
        <f t="shared" ref="M7" si="7">L7-L6</f>
        <v>7.4441687344913151E-3</v>
      </c>
      <c r="N7" s="3"/>
      <c r="O7" s="3"/>
      <c r="P7" s="3"/>
      <c r="Q7" s="3"/>
      <c r="R7" s="3"/>
      <c r="S7" s="3"/>
    </row>
    <row r="8" spans="1:19" x14ac:dyDescent="0.2">
      <c r="A8" s="5">
        <v>46044</v>
      </c>
      <c r="B8" s="3" t="s">
        <v>32</v>
      </c>
      <c r="C8" s="3" t="s">
        <v>8</v>
      </c>
      <c r="D8" s="3" t="s">
        <v>4</v>
      </c>
      <c r="E8" s="3">
        <v>268</v>
      </c>
      <c r="F8" s="3">
        <v>1</v>
      </c>
      <c r="G8" s="3">
        <v>1</v>
      </c>
      <c r="H8" s="3">
        <v>100</v>
      </c>
      <c r="I8" s="3">
        <v>40</v>
      </c>
      <c r="J8" s="1">
        <f t="shared" si="0"/>
        <v>3.7313432835820895E-3</v>
      </c>
      <c r="K8" s="3"/>
      <c r="L8" s="3">
        <f t="shared" si="1"/>
        <v>3.7313432835820895E-3</v>
      </c>
      <c r="M8" s="3"/>
      <c r="N8" s="3"/>
      <c r="O8" s="3"/>
      <c r="P8" s="3"/>
      <c r="Q8" s="3"/>
      <c r="R8" s="3"/>
      <c r="S8" s="3"/>
    </row>
    <row r="9" spans="1:19" x14ac:dyDescent="0.2">
      <c r="A9" s="5">
        <v>46044</v>
      </c>
      <c r="B9" s="3" t="s">
        <v>32</v>
      </c>
      <c r="C9" s="3" t="s">
        <v>9</v>
      </c>
      <c r="D9" s="3" t="s">
        <v>4</v>
      </c>
      <c r="E9" s="3">
        <v>300</v>
      </c>
      <c r="F9" s="3">
        <v>6</v>
      </c>
      <c r="G9" s="3">
        <v>6</v>
      </c>
      <c r="H9" s="3">
        <v>73</v>
      </c>
      <c r="I9" s="3">
        <v>40</v>
      </c>
      <c r="J9" s="1">
        <f t="shared" si="0"/>
        <v>0.02</v>
      </c>
      <c r="K9" s="1">
        <f t="shared" ref="K9" si="8">J9-J8</f>
        <v>1.6268656716417911E-2</v>
      </c>
      <c r="L9" s="3">
        <f t="shared" si="1"/>
        <v>0.02</v>
      </c>
      <c r="M9" s="3">
        <f t="shared" ref="M9" si="9">L9-L8</f>
        <v>1.6268656716417911E-2</v>
      </c>
      <c r="N9" s="1">
        <f>AVERAGE(K9:K12)</f>
        <v>1.8062602763612576E-2</v>
      </c>
      <c r="O9" s="1">
        <f>STDEV(K9:K11)</f>
        <v>2.537022830108301E-3</v>
      </c>
      <c r="P9" s="4">
        <v>2090000</v>
      </c>
      <c r="Q9" s="3">
        <f>M9*(P$9/400000)</f>
        <v>8.5003731343283581E-2</v>
      </c>
      <c r="R9" s="3">
        <f>AVERAGE(Q9:Q11)</f>
        <v>9.4377099439875711E-2</v>
      </c>
      <c r="S9" s="3">
        <f>STDEV(Q9:Q11)</f>
        <v>1.3255944287315873E-2</v>
      </c>
    </row>
    <row r="10" spans="1:19" x14ac:dyDescent="0.2">
      <c r="A10" s="5">
        <v>46044</v>
      </c>
      <c r="B10" s="3" t="s">
        <v>32</v>
      </c>
      <c r="C10" s="3" t="s">
        <v>8</v>
      </c>
      <c r="D10" s="3" t="s">
        <v>5</v>
      </c>
      <c r="E10" s="3">
        <v>301</v>
      </c>
      <c r="F10" s="3">
        <v>1</v>
      </c>
      <c r="G10" s="3">
        <v>1</v>
      </c>
      <c r="H10" s="3">
        <v>102</v>
      </c>
      <c r="I10" s="3">
        <v>40</v>
      </c>
      <c r="J10" s="1">
        <f t="shared" si="0"/>
        <v>3.3222591362126247E-3</v>
      </c>
      <c r="K10" s="3"/>
      <c r="L10" s="3">
        <f t="shared" si="1"/>
        <v>3.3222591362126247E-3</v>
      </c>
      <c r="M10" s="3"/>
      <c r="N10" s="3"/>
      <c r="O10" s="3"/>
      <c r="P10" s="3"/>
      <c r="Q10" s="3"/>
      <c r="R10" s="3"/>
      <c r="S10" s="3"/>
    </row>
    <row r="11" spans="1:19" x14ac:dyDescent="0.2">
      <c r="A11" s="5">
        <v>46044</v>
      </c>
      <c r="B11" s="3" t="s">
        <v>32</v>
      </c>
      <c r="C11" s="3" t="s">
        <v>9</v>
      </c>
      <c r="D11" s="3" t="s">
        <v>5</v>
      </c>
      <c r="E11" s="3">
        <v>302</v>
      </c>
      <c r="F11" s="3">
        <v>7</v>
      </c>
      <c r="G11" s="3">
        <v>7</v>
      </c>
      <c r="H11" s="3">
        <v>79</v>
      </c>
      <c r="I11" s="3">
        <v>40</v>
      </c>
      <c r="J11" s="1">
        <f t="shared" si="0"/>
        <v>2.3178807947019868E-2</v>
      </c>
      <c r="K11" s="1">
        <f t="shared" ref="K11" si="10">J11-J10</f>
        <v>1.9856548810807242E-2</v>
      </c>
      <c r="L11" s="3">
        <f t="shared" si="1"/>
        <v>2.3178807947019868E-2</v>
      </c>
      <c r="M11" s="3">
        <f t="shared" ref="M11" si="11">L11-L10</f>
        <v>1.9856548810807242E-2</v>
      </c>
      <c r="N11" s="3"/>
      <c r="O11" s="3"/>
      <c r="P11" s="3"/>
      <c r="Q11" s="3">
        <f>M11*(P$9/400000)</f>
        <v>0.10375046753646784</v>
      </c>
      <c r="R11" s="3"/>
      <c r="S11" s="3"/>
    </row>
    <row r="12" spans="1:19" x14ac:dyDescent="0.2">
      <c r="A12" s="5">
        <v>46062</v>
      </c>
      <c r="B12" s="3" t="s">
        <v>13</v>
      </c>
      <c r="C12" s="3" t="s">
        <v>8</v>
      </c>
      <c r="D12" s="3" t="s">
        <v>3</v>
      </c>
      <c r="E12" s="3">
        <v>100</v>
      </c>
      <c r="F12" s="3"/>
      <c r="G12" s="3">
        <v>148</v>
      </c>
      <c r="H12" s="3"/>
      <c r="I12" s="3">
        <v>40</v>
      </c>
      <c r="J12" s="1"/>
      <c r="K12" s="3"/>
      <c r="L12" s="3">
        <f t="shared" si="1"/>
        <v>1.48</v>
      </c>
      <c r="M12" s="3"/>
      <c r="N12" s="3"/>
      <c r="O12" s="3"/>
      <c r="P12" s="4">
        <v>10100000</v>
      </c>
      <c r="Q12" s="3"/>
      <c r="R12" s="3"/>
      <c r="S12" s="3"/>
    </row>
    <row r="13" spans="1:19" x14ac:dyDescent="0.2">
      <c r="A13" s="5">
        <v>46062</v>
      </c>
      <c r="B13" s="3" t="s">
        <v>13</v>
      </c>
      <c r="C13" s="3" t="s">
        <v>9</v>
      </c>
      <c r="D13" s="3" t="s">
        <v>3</v>
      </c>
      <c r="E13" s="3">
        <v>100</v>
      </c>
      <c r="F13" s="3"/>
      <c r="G13" s="3">
        <v>506</v>
      </c>
      <c r="H13" s="3"/>
      <c r="I13" s="3">
        <v>40</v>
      </c>
      <c r="J13" s="1"/>
      <c r="K13" s="1"/>
      <c r="L13" s="3">
        <f t="shared" si="1"/>
        <v>5.0599999999999996</v>
      </c>
      <c r="M13" s="3">
        <f t="shared" ref="M13" si="12">L13-L12</f>
        <v>3.5799999999999996</v>
      </c>
      <c r="N13" s="3"/>
      <c r="O13" s="3"/>
      <c r="P13" s="3"/>
      <c r="Q13" s="4">
        <f>M13*(P$12/2000000)</f>
        <v>18.078999999999997</v>
      </c>
      <c r="R13" s="3">
        <f>AVERAGE(Q12:Q17)</f>
        <v>20.486166666666666</v>
      </c>
      <c r="S13" s="3">
        <f>STDEV(Q12:Q17)</f>
        <v>5.4400322685930087</v>
      </c>
    </row>
    <row r="14" spans="1:19" x14ac:dyDescent="0.2">
      <c r="A14" s="5">
        <v>46062</v>
      </c>
      <c r="B14" s="3" t="s">
        <v>13</v>
      </c>
      <c r="C14" s="3" t="s">
        <v>8</v>
      </c>
      <c r="D14" s="3" t="s">
        <v>4</v>
      </c>
      <c r="E14" s="3">
        <v>100</v>
      </c>
      <c r="F14" s="3"/>
      <c r="G14" s="3">
        <v>248</v>
      </c>
      <c r="H14" s="3"/>
      <c r="I14" s="3">
        <v>40</v>
      </c>
      <c r="J14" s="1"/>
      <c r="K14" s="3"/>
      <c r="L14" s="3">
        <f t="shared" si="1"/>
        <v>2.48</v>
      </c>
      <c r="M14" s="3"/>
      <c r="N14" s="3"/>
      <c r="O14" s="3"/>
      <c r="P14" s="3"/>
      <c r="Q14" s="3"/>
      <c r="R14" s="3"/>
      <c r="S14" s="3"/>
    </row>
    <row r="15" spans="1:19" x14ac:dyDescent="0.2">
      <c r="A15" s="5">
        <v>46062</v>
      </c>
      <c r="B15" s="3" t="s">
        <v>13</v>
      </c>
      <c r="C15" s="3" t="s">
        <v>9</v>
      </c>
      <c r="D15" s="3" t="s">
        <v>4</v>
      </c>
      <c r="E15" s="3">
        <v>100</v>
      </c>
      <c r="F15" s="3"/>
      <c r="G15" s="3">
        <v>578</v>
      </c>
      <c r="H15" s="3"/>
      <c r="I15" s="3">
        <v>40</v>
      </c>
      <c r="J15" s="1"/>
      <c r="K15" s="1"/>
      <c r="L15" s="3">
        <f t="shared" si="1"/>
        <v>5.78</v>
      </c>
      <c r="M15" s="3">
        <f t="shared" ref="M15" si="13">L15-L14</f>
        <v>3.3000000000000003</v>
      </c>
      <c r="N15" s="3"/>
      <c r="O15" s="3"/>
      <c r="P15" s="3"/>
      <c r="Q15" s="4">
        <f t="shared" ref="Q15" si="14">M15*(P$12/2000000)</f>
        <v>16.664999999999999</v>
      </c>
      <c r="R15" s="3"/>
      <c r="S15" s="3"/>
    </row>
    <row r="16" spans="1:19" x14ac:dyDescent="0.2">
      <c r="A16" s="5">
        <v>46062</v>
      </c>
      <c r="B16" s="3" t="s">
        <v>13</v>
      </c>
      <c r="C16" s="3" t="s">
        <v>8</v>
      </c>
      <c r="D16" s="3" t="s">
        <v>5</v>
      </c>
      <c r="E16" s="3">
        <v>100</v>
      </c>
      <c r="F16" s="3"/>
      <c r="G16" s="3">
        <v>209</v>
      </c>
      <c r="H16" s="3"/>
      <c r="I16" s="3">
        <v>40</v>
      </c>
      <c r="J16" s="1"/>
      <c r="K16" s="3"/>
      <c r="L16" s="3">
        <f t="shared" si="1"/>
        <v>2.09</v>
      </c>
      <c r="M16" s="3"/>
      <c r="N16" s="3"/>
      <c r="O16" s="3"/>
      <c r="P16" s="3"/>
      <c r="Q16" s="3"/>
      <c r="R16" s="3"/>
      <c r="S16" s="3"/>
    </row>
    <row r="17" spans="1:19" x14ac:dyDescent="0.2">
      <c r="A17" s="5">
        <v>46062</v>
      </c>
      <c r="B17" s="3" t="s">
        <v>13</v>
      </c>
      <c r="C17" s="3" t="s">
        <v>9</v>
      </c>
      <c r="D17" s="3" t="s">
        <v>5</v>
      </c>
      <c r="E17" s="3">
        <v>100</v>
      </c>
      <c r="F17" s="3"/>
      <c r="G17" s="3">
        <v>738</v>
      </c>
      <c r="H17" s="3"/>
      <c r="I17" s="3">
        <v>40</v>
      </c>
      <c r="J17" s="1"/>
      <c r="K17" s="1"/>
      <c r="L17" s="3">
        <f t="shared" si="1"/>
        <v>7.38</v>
      </c>
      <c r="M17" s="3">
        <f t="shared" ref="M17" si="15">L17-L16</f>
        <v>5.29</v>
      </c>
      <c r="N17" s="3"/>
      <c r="O17" s="3"/>
      <c r="P17" s="3"/>
      <c r="Q17" s="4">
        <f t="shared" ref="Q17" si="16">M17*(P$12/2000000)</f>
        <v>26.714499999999997</v>
      </c>
      <c r="R17" s="3"/>
      <c r="S17" s="3"/>
    </row>
    <row r="18" spans="1:19" x14ac:dyDescent="0.2">
      <c r="A18" s="5">
        <v>46070</v>
      </c>
      <c r="B18" s="3" t="s">
        <v>14</v>
      </c>
      <c r="C18" s="3" t="s">
        <v>8</v>
      </c>
      <c r="D18" s="3" t="s">
        <v>3</v>
      </c>
      <c r="E18" s="3">
        <v>407</v>
      </c>
      <c r="F18" s="3">
        <v>1</v>
      </c>
      <c r="G18" s="3">
        <v>1</v>
      </c>
      <c r="H18" s="3">
        <v>32</v>
      </c>
      <c r="I18" s="3">
        <v>40</v>
      </c>
      <c r="J18" s="1">
        <f t="shared" si="0"/>
        <v>2.4570024570024569E-3</v>
      </c>
      <c r="K18" s="3"/>
      <c r="L18" s="3">
        <f t="shared" si="1"/>
        <v>2.4570024570024569E-3</v>
      </c>
      <c r="M18" s="3"/>
      <c r="N18" s="1">
        <v>2.6700000000000002E-2</v>
      </c>
      <c r="O18" s="1">
        <v>2.5999999999999999E-3</v>
      </c>
      <c r="P18" s="4">
        <v>2030000</v>
      </c>
      <c r="Q18" s="3"/>
      <c r="R18" s="3">
        <f>AVERAGE(Q18:Q23)</f>
        <v>0.15163645166876574</v>
      </c>
      <c r="S18" s="3">
        <f>STDEV(Q19:Q23)</f>
        <v>2.2032427302855581E-2</v>
      </c>
    </row>
    <row r="19" spans="1:19" x14ac:dyDescent="0.2">
      <c r="A19" s="5">
        <v>46070</v>
      </c>
      <c r="B19" s="3" t="s">
        <v>14</v>
      </c>
      <c r="C19" s="3" t="s">
        <v>9</v>
      </c>
      <c r="D19" s="3" t="s">
        <v>3</v>
      </c>
      <c r="E19" s="3">
        <v>409</v>
      </c>
      <c r="F19" s="3">
        <v>11</v>
      </c>
      <c r="G19" s="3">
        <v>13</v>
      </c>
      <c r="H19" s="3">
        <v>23</v>
      </c>
      <c r="I19" s="3">
        <v>40</v>
      </c>
      <c r="J19" s="1">
        <f t="shared" si="0"/>
        <v>2.6894865525672371E-2</v>
      </c>
      <c r="K19" s="1">
        <f t="shared" ref="K19" si="17">J19-J18</f>
        <v>2.4437863068669914E-2</v>
      </c>
      <c r="L19" s="3">
        <f t="shared" si="1"/>
        <v>3.1784841075794622E-2</v>
      </c>
      <c r="M19" s="3">
        <f t="shared" ref="M19" si="18">L19-L18</f>
        <v>2.9327838618792165E-2</v>
      </c>
      <c r="N19" s="3"/>
      <c r="O19" s="3"/>
      <c r="P19" s="3"/>
      <c r="Q19" s="4">
        <f>M19*(P$18/400000)</f>
        <v>0.14883878099037023</v>
      </c>
      <c r="R19" s="3"/>
      <c r="S19" s="3"/>
    </row>
    <row r="20" spans="1:19" x14ac:dyDescent="0.2">
      <c r="A20" s="5">
        <v>46070</v>
      </c>
      <c r="B20" s="3" t="s">
        <v>14</v>
      </c>
      <c r="C20" s="3" t="s">
        <v>8</v>
      </c>
      <c r="D20" s="3" t="s">
        <v>4</v>
      </c>
      <c r="E20" s="3">
        <v>411</v>
      </c>
      <c r="F20" s="3">
        <v>3</v>
      </c>
      <c r="G20" s="3">
        <v>3</v>
      </c>
      <c r="H20" s="3">
        <v>35</v>
      </c>
      <c r="I20" s="3">
        <v>40</v>
      </c>
      <c r="J20" s="1">
        <f t="shared" si="0"/>
        <v>7.2992700729927005E-3</v>
      </c>
      <c r="K20" s="3"/>
      <c r="L20" s="3">
        <f t="shared" si="1"/>
        <v>7.2992700729927005E-3</v>
      </c>
      <c r="M20" s="3"/>
      <c r="N20" s="3"/>
      <c r="O20" s="3"/>
      <c r="P20" s="3"/>
      <c r="Q20" s="3"/>
      <c r="R20" s="3"/>
      <c r="S20" s="3"/>
    </row>
    <row r="21" spans="1:19" x14ac:dyDescent="0.2">
      <c r="A21" s="5">
        <v>46070</v>
      </c>
      <c r="B21" s="3" t="s">
        <v>14</v>
      </c>
      <c r="C21" s="3" t="s">
        <v>9</v>
      </c>
      <c r="D21" s="3" t="s">
        <v>4</v>
      </c>
      <c r="E21" s="3">
        <v>407</v>
      </c>
      <c r="F21" s="3">
        <v>15</v>
      </c>
      <c r="G21" s="3">
        <v>17</v>
      </c>
      <c r="H21" s="3">
        <v>31</v>
      </c>
      <c r="I21" s="3">
        <v>40</v>
      </c>
      <c r="J21" s="1">
        <f t="shared" si="0"/>
        <v>3.6855036855036855E-2</v>
      </c>
      <c r="K21" s="1">
        <f t="shared" ref="K21" si="19">J21-J20</f>
        <v>2.9555766782044156E-2</v>
      </c>
      <c r="L21" s="3">
        <f t="shared" si="1"/>
        <v>4.1769041769041768E-2</v>
      </c>
      <c r="M21" s="3">
        <f t="shared" ref="M21" si="20">L21-L20</f>
        <v>3.4469771696049069E-2</v>
      </c>
      <c r="N21" s="3"/>
      <c r="O21" s="3"/>
      <c r="P21" s="3"/>
      <c r="Q21" s="4">
        <f t="shared" ref="Q21" si="21">M21*(P$18/400000)</f>
        <v>0.17493409135744903</v>
      </c>
      <c r="R21" s="3"/>
      <c r="S21" s="3"/>
    </row>
    <row r="22" spans="1:19" x14ac:dyDescent="0.2">
      <c r="A22" s="5">
        <v>46069</v>
      </c>
      <c r="B22" s="3" t="s">
        <v>14</v>
      </c>
      <c r="C22" s="3" t="s">
        <v>8</v>
      </c>
      <c r="D22" s="3" t="s">
        <v>5</v>
      </c>
      <c r="E22" s="3">
        <v>402</v>
      </c>
      <c r="F22" s="3">
        <v>2</v>
      </c>
      <c r="G22" s="3">
        <v>5</v>
      </c>
      <c r="H22" s="3">
        <v>51</v>
      </c>
      <c r="I22" s="3">
        <v>40</v>
      </c>
      <c r="J22" s="1">
        <f t="shared" si="0"/>
        <v>4.9751243781094526E-3</v>
      </c>
      <c r="K22" s="3"/>
      <c r="L22" s="3">
        <f t="shared" si="1"/>
        <v>1.2437810945273632E-2</v>
      </c>
      <c r="M22" s="3"/>
      <c r="N22" s="3"/>
      <c r="O22" s="3"/>
      <c r="P22" s="3"/>
      <c r="Q22" s="3"/>
      <c r="R22" s="3"/>
      <c r="S22" s="3"/>
    </row>
    <row r="23" spans="1:19" x14ac:dyDescent="0.2">
      <c r="A23" s="5">
        <v>46069</v>
      </c>
      <c r="B23" s="3" t="s">
        <v>14</v>
      </c>
      <c r="C23" s="3" t="s">
        <v>9</v>
      </c>
      <c r="D23" s="3" t="s">
        <v>5</v>
      </c>
      <c r="E23" s="3">
        <v>418</v>
      </c>
      <c r="F23" s="3">
        <v>13</v>
      </c>
      <c r="G23" s="3">
        <v>16</v>
      </c>
      <c r="H23" s="3">
        <v>36</v>
      </c>
      <c r="I23" s="3">
        <v>40</v>
      </c>
      <c r="J23" s="1">
        <f t="shared" si="0"/>
        <v>3.1100478468899521E-2</v>
      </c>
      <c r="K23" s="1">
        <f t="shared" ref="K23" si="22">J23-J22</f>
        <v>2.6125354090790066E-2</v>
      </c>
      <c r="L23" s="3">
        <f t="shared" si="1"/>
        <v>3.8277511961722487E-2</v>
      </c>
      <c r="M23" s="3">
        <f t="shared" ref="M23" si="23">L23-L22</f>
        <v>2.5839701016448856E-2</v>
      </c>
      <c r="N23" s="3"/>
      <c r="O23" s="3"/>
      <c r="P23" s="3"/>
      <c r="Q23" s="4">
        <f t="shared" ref="Q23" si="24">M23*(P$18/400000)</f>
        <v>0.13113648265847794</v>
      </c>
      <c r="R23" s="3"/>
      <c r="S23" s="3"/>
    </row>
    <row r="24" spans="1:19" x14ac:dyDescent="0.2">
      <c r="A24" s="5">
        <v>46070</v>
      </c>
      <c r="B24" s="3" t="s">
        <v>2</v>
      </c>
      <c r="C24" s="3" t="s">
        <v>8</v>
      </c>
      <c r="D24" s="3" t="s">
        <v>3</v>
      </c>
      <c r="E24" s="3">
        <v>408</v>
      </c>
      <c r="F24" s="3">
        <v>1</v>
      </c>
      <c r="G24" s="3">
        <v>1</v>
      </c>
      <c r="H24" s="3">
        <v>16</v>
      </c>
      <c r="I24" s="3">
        <v>40</v>
      </c>
      <c r="J24" s="1">
        <f t="shared" si="0"/>
        <v>2.4509803921568627E-3</v>
      </c>
      <c r="K24" s="3"/>
      <c r="L24" s="3">
        <f t="shared" si="1"/>
        <v>2.4509803921568627E-3</v>
      </c>
      <c r="M24" s="3"/>
      <c r="N24" s="1">
        <v>8.2000000000000007E-3</v>
      </c>
      <c r="O24" s="1">
        <v>1.4E-3</v>
      </c>
      <c r="P24" s="4">
        <v>3180000</v>
      </c>
      <c r="Q24" s="3"/>
      <c r="R24" s="3">
        <f>AVERAGE(Q24:Q29)</f>
        <v>5.2458360850629909E-2</v>
      </c>
      <c r="S24" s="3">
        <f>STDEV(Q24:Q29)</f>
        <v>1.3799753058116749E-2</v>
      </c>
    </row>
    <row r="25" spans="1:19" x14ac:dyDescent="0.2">
      <c r="A25" s="5">
        <v>46070</v>
      </c>
      <c r="B25" s="3" t="s">
        <v>2</v>
      </c>
      <c r="C25" s="3" t="s">
        <v>9</v>
      </c>
      <c r="D25" s="3" t="s">
        <v>3</v>
      </c>
      <c r="E25" s="3">
        <v>401</v>
      </c>
      <c r="F25" s="3">
        <v>4</v>
      </c>
      <c r="G25" s="3">
        <v>6</v>
      </c>
      <c r="H25" s="3">
        <v>21</v>
      </c>
      <c r="I25" s="3">
        <v>40</v>
      </c>
      <c r="J25" s="1">
        <f t="shared" si="0"/>
        <v>9.9750623441396506E-3</v>
      </c>
      <c r="K25" s="1">
        <f t="shared" ref="K25" si="25">J25-J24</f>
        <v>7.5240819519827879E-3</v>
      </c>
      <c r="L25" s="3">
        <f t="shared" si="1"/>
        <v>1.4962593516209476E-2</v>
      </c>
      <c r="M25" s="3">
        <f t="shared" ref="M25" si="26">L25-L24</f>
        <v>1.2511613124052613E-2</v>
      </c>
      <c r="N25" s="3"/>
      <c r="O25" s="3"/>
      <c r="P25" s="3"/>
      <c r="Q25" s="4">
        <f>M25*(P$24/600000)</f>
        <v>6.6311549557478852E-2</v>
      </c>
      <c r="R25" s="3"/>
      <c r="S25" s="3"/>
    </row>
    <row r="26" spans="1:19" x14ac:dyDescent="0.2">
      <c r="A26" s="5">
        <v>46070</v>
      </c>
      <c r="B26" s="3" t="s">
        <v>2</v>
      </c>
      <c r="C26" s="3" t="s">
        <v>8</v>
      </c>
      <c r="D26" s="3" t="s">
        <v>4</v>
      </c>
      <c r="E26" s="3">
        <v>420</v>
      </c>
      <c r="F26" s="3">
        <v>1</v>
      </c>
      <c r="G26" s="3">
        <v>1</v>
      </c>
      <c r="H26" s="3">
        <v>14</v>
      </c>
      <c r="I26" s="3">
        <v>40</v>
      </c>
      <c r="J26" s="1">
        <f t="shared" si="0"/>
        <v>2.3809523809523812E-3</v>
      </c>
      <c r="K26" s="3"/>
      <c r="L26" s="3">
        <f t="shared" si="1"/>
        <v>2.3809523809523812E-3</v>
      </c>
      <c r="M26" s="3"/>
      <c r="N26" s="3"/>
      <c r="O26" s="3"/>
      <c r="P26" s="3"/>
      <c r="Q26" s="3"/>
      <c r="R26" s="3"/>
      <c r="S26" s="3"/>
    </row>
    <row r="27" spans="1:19" x14ac:dyDescent="0.2">
      <c r="A27" s="5">
        <v>46070</v>
      </c>
      <c r="B27" s="3" t="s">
        <v>2</v>
      </c>
      <c r="C27" s="3" t="s">
        <v>9</v>
      </c>
      <c r="D27" s="3" t="s">
        <v>4</v>
      </c>
      <c r="E27" s="3">
        <v>413</v>
      </c>
      <c r="F27" s="3">
        <v>4</v>
      </c>
      <c r="G27" s="3">
        <v>4</v>
      </c>
      <c r="H27" s="3">
        <v>28</v>
      </c>
      <c r="I27" s="3">
        <v>40</v>
      </c>
      <c r="J27" s="1">
        <f t="shared" si="0"/>
        <v>9.6852300242130755E-3</v>
      </c>
      <c r="K27" s="1">
        <f t="shared" ref="K27" si="27">J27-J26</f>
        <v>7.3042776432606944E-3</v>
      </c>
      <c r="L27" s="3">
        <f t="shared" si="1"/>
        <v>9.6852300242130755E-3</v>
      </c>
      <c r="M27" s="3">
        <f t="shared" ref="M27" si="28">L27-L26</f>
        <v>7.3042776432606944E-3</v>
      </c>
      <c r="N27" s="3"/>
      <c r="O27" s="3"/>
      <c r="P27" s="3"/>
      <c r="Q27" s="4">
        <f t="shared" ref="Q27" si="29">M27*(P$24/600000)</f>
        <v>3.8712671509281676E-2</v>
      </c>
      <c r="R27" s="3"/>
      <c r="S27" s="3"/>
    </row>
    <row r="28" spans="1:19" x14ac:dyDescent="0.2">
      <c r="A28" s="5">
        <v>46070</v>
      </c>
      <c r="B28" s="3" t="s">
        <v>2</v>
      </c>
      <c r="C28" s="3" t="s">
        <v>8</v>
      </c>
      <c r="D28" s="3" t="s">
        <v>5</v>
      </c>
      <c r="E28" s="3">
        <v>426</v>
      </c>
      <c r="F28" s="3">
        <v>1</v>
      </c>
      <c r="G28" s="3">
        <v>1</v>
      </c>
      <c r="H28" s="3">
        <v>10</v>
      </c>
      <c r="I28" s="3">
        <v>40</v>
      </c>
      <c r="J28" s="1">
        <f t="shared" si="0"/>
        <v>2.3474178403755869E-3</v>
      </c>
      <c r="K28" s="3"/>
      <c r="L28" s="3">
        <f t="shared" si="1"/>
        <v>2.3474178403755869E-3</v>
      </c>
      <c r="M28" s="3"/>
      <c r="N28" s="3"/>
      <c r="O28" s="3"/>
      <c r="P28" s="3"/>
      <c r="Q28" s="3"/>
      <c r="R28" s="3"/>
      <c r="S28" s="3"/>
    </row>
    <row r="29" spans="1:19" x14ac:dyDescent="0.2">
      <c r="A29" s="5">
        <v>46070</v>
      </c>
      <c r="B29" s="3" t="s">
        <v>2</v>
      </c>
      <c r="C29" s="3" t="s">
        <v>9</v>
      </c>
      <c r="D29" s="3" t="s">
        <v>5</v>
      </c>
      <c r="E29" s="3">
        <v>409</v>
      </c>
      <c r="F29" s="3">
        <v>5</v>
      </c>
      <c r="G29" s="3">
        <v>5</v>
      </c>
      <c r="H29" s="3">
        <v>25</v>
      </c>
      <c r="I29" s="3">
        <v>40</v>
      </c>
      <c r="J29" s="1">
        <f t="shared" si="0"/>
        <v>1.2224938875305624E-2</v>
      </c>
      <c r="K29" s="1">
        <f t="shared" ref="K29" si="30">J29-J28</f>
        <v>9.8775210349300382E-3</v>
      </c>
      <c r="L29" s="3">
        <f t="shared" si="1"/>
        <v>1.2224938875305624E-2</v>
      </c>
      <c r="M29" s="3">
        <f t="shared" ref="M29" si="31">L29-L28</f>
        <v>9.8775210349300382E-3</v>
      </c>
      <c r="N29" s="3"/>
      <c r="O29" s="3"/>
      <c r="P29" s="3"/>
      <c r="Q29" s="4">
        <f t="shared" ref="Q29" si="32">M29*(P$24/600000)</f>
        <v>5.2350861485129199E-2</v>
      </c>
      <c r="R29" s="3"/>
      <c r="S29" s="3"/>
    </row>
    <row r="30" spans="1:19" x14ac:dyDescent="0.2">
      <c r="A30" s="5">
        <v>46070</v>
      </c>
      <c r="B30" s="3" t="s">
        <v>10</v>
      </c>
      <c r="C30" s="3" t="s">
        <v>8</v>
      </c>
      <c r="D30" s="3" t="s">
        <v>3</v>
      </c>
      <c r="E30" s="3">
        <v>401</v>
      </c>
      <c r="F30" s="3">
        <v>0</v>
      </c>
      <c r="G30" s="3">
        <v>0</v>
      </c>
      <c r="H30" s="3">
        <v>15</v>
      </c>
      <c r="I30" s="3">
        <v>40</v>
      </c>
      <c r="J30" s="1">
        <f t="shared" si="0"/>
        <v>0</v>
      </c>
      <c r="K30" s="3"/>
      <c r="L30" s="3">
        <f t="shared" si="1"/>
        <v>0</v>
      </c>
      <c r="M30" s="3"/>
      <c r="N30" s="1">
        <v>5.7000000000000002E-3</v>
      </c>
      <c r="O30" s="1">
        <v>1.5E-3</v>
      </c>
      <c r="P30" s="4">
        <v>2940000</v>
      </c>
      <c r="Q30" s="3"/>
      <c r="R30" s="3">
        <f>AVERAGE(Q30:Q35)</f>
        <v>2.8096348040048777E-2</v>
      </c>
      <c r="S30" s="3">
        <f>STDEV(Q30:Q35)</f>
        <v>7.4149712326181377E-3</v>
      </c>
    </row>
    <row r="31" spans="1:19" x14ac:dyDescent="0.2">
      <c r="A31" s="5">
        <v>46070</v>
      </c>
      <c r="B31" s="3" t="s">
        <v>10</v>
      </c>
      <c r="C31" s="3" t="s">
        <v>9</v>
      </c>
      <c r="D31" s="3" t="s">
        <v>3</v>
      </c>
      <c r="E31" s="3">
        <v>412</v>
      </c>
      <c r="F31" s="3">
        <v>2</v>
      </c>
      <c r="G31" s="3">
        <v>2</v>
      </c>
      <c r="H31" s="3">
        <v>17</v>
      </c>
      <c r="I31" s="3">
        <v>40</v>
      </c>
      <c r="J31" s="1">
        <f t="shared" si="0"/>
        <v>4.8543689320388345E-3</v>
      </c>
      <c r="K31" s="1">
        <f t="shared" ref="K31" si="33">J31-J30</f>
        <v>4.8543689320388345E-3</v>
      </c>
      <c r="L31" s="3">
        <f t="shared" si="1"/>
        <v>4.8543689320388345E-3</v>
      </c>
      <c r="M31" s="3">
        <f t="shared" ref="M31" si="34">L31-L30</f>
        <v>4.8543689320388345E-3</v>
      </c>
      <c r="N31" s="3"/>
      <c r="O31" s="3"/>
      <c r="P31" s="3"/>
      <c r="Q31" s="4">
        <f>M31*(P$30/600000)</f>
        <v>2.378640776699029E-2</v>
      </c>
      <c r="R31" s="3"/>
      <c r="S31" s="3"/>
    </row>
    <row r="32" spans="1:19" x14ac:dyDescent="0.2">
      <c r="A32" s="5">
        <v>46071</v>
      </c>
      <c r="B32" s="3" t="s">
        <v>10</v>
      </c>
      <c r="C32" s="3" t="s">
        <v>8</v>
      </c>
      <c r="D32" s="3" t="s">
        <v>4</v>
      </c>
      <c r="E32" s="3">
        <v>405</v>
      </c>
      <c r="F32" s="3">
        <v>0</v>
      </c>
      <c r="G32" s="3">
        <v>0</v>
      </c>
      <c r="H32" s="3">
        <v>16</v>
      </c>
      <c r="I32" s="3">
        <v>40</v>
      </c>
      <c r="J32" s="1">
        <f t="shared" si="0"/>
        <v>0</v>
      </c>
      <c r="K32" s="3"/>
      <c r="L32" s="3">
        <f t="shared" si="1"/>
        <v>0</v>
      </c>
      <c r="M32" s="3"/>
      <c r="N32" s="3"/>
      <c r="O32" s="3"/>
      <c r="P32" s="3"/>
      <c r="Q32" s="3"/>
      <c r="R32" s="3"/>
      <c r="S32" s="3"/>
    </row>
    <row r="33" spans="1:19" x14ac:dyDescent="0.2">
      <c r="A33" s="5">
        <v>46071</v>
      </c>
      <c r="B33" s="3" t="s">
        <v>10</v>
      </c>
      <c r="C33" s="3" t="s">
        <v>9</v>
      </c>
      <c r="D33" s="3" t="s">
        <v>4</v>
      </c>
      <c r="E33" s="3">
        <v>411</v>
      </c>
      <c r="F33" s="3">
        <v>2</v>
      </c>
      <c r="G33" s="3">
        <v>2</v>
      </c>
      <c r="H33" s="3">
        <v>27</v>
      </c>
      <c r="I33" s="3">
        <v>40</v>
      </c>
      <c r="J33" s="1">
        <f t="shared" si="0"/>
        <v>4.8661800486618006E-3</v>
      </c>
      <c r="K33" s="1">
        <f t="shared" ref="K33" si="35">J33-J32</f>
        <v>4.8661800486618006E-3</v>
      </c>
      <c r="L33" s="3">
        <f t="shared" si="1"/>
        <v>4.8661800486618006E-3</v>
      </c>
      <c r="M33" s="3">
        <f t="shared" ref="M33" si="36">L33-L32</f>
        <v>4.8661800486618006E-3</v>
      </c>
      <c r="N33" s="3"/>
      <c r="O33" s="3"/>
      <c r="P33" s="3"/>
      <c r="Q33" s="4">
        <f t="shared" ref="Q33" si="37">M33*(P$30/600000)</f>
        <v>2.3844282238442826E-2</v>
      </c>
      <c r="R33" s="3"/>
      <c r="S33" s="3"/>
    </row>
    <row r="34" spans="1:19" x14ac:dyDescent="0.2">
      <c r="A34" s="5">
        <v>46071</v>
      </c>
      <c r="B34" s="3" t="s">
        <v>10</v>
      </c>
      <c r="C34" s="3" t="s">
        <v>8</v>
      </c>
      <c r="D34" s="3" t="s">
        <v>5</v>
      </c>
      <c r="E34" s="3">
        <v>405</v>
      </c>
      <c r="F34" s="3">
        <v>0</v>
      </c>
      <c r="G34" s="3">
        <v>0</v>
      </c>
      <c r="H34" s="3">
        <v>16</v>
      </c>
      <c r="I34" s="3">
        <v>40</v>
      </c>
      <c r="J34" s="1">
        <f t="shared" si="0"/>
        <v>0</v>
      </c>
      <c r="K34" s="3"/>
      <c r="L34" s="3">
        <f t="shared" si="1"/>
        <v>0</v>
      </c>
      <c r="M34" s="3"/>
      <c r="N34" s="3"/>
      <c r="O34" s="3"/>
      <c r="P34" s="3"/>
      <c r="Q34" s="3"/>
      <c r="R34" s="3"/>
      <c r="S34" s="3"/>
    </row>
    <row r="35" spans="1:19" x14ac:dyDescent="0.2">
      <c r="A35" s="5">
        <v>46071</v>
      </c>
      <c r="B35" s="3" t="s">
        <v>10</v>
      </c>
      <c r="C35" s="3" t="s">
        <v>9</v>
      </c>
      <c r="D35" s="3" t="s">
        <v>5</v>
      </c>
      <c r="E35" s="3">
        <v>401</v>
      </c>
      <c r="F35" s="3">
        <v>3</v>
      </c>
      <c r="G35" s="3">
        <v>3</v>
      </c>
      <c r="H35" s="3">
        <v>16</v>
      </c>
      <c r="I35" s="3">
        <v>40</v>
      </c>
      <c r="J35" s="1">
        <f t="shared" si="0"/>
        <v>7.481296758104738E-3</v>
      </c>
      <c r="K35" s="1">
        <f t="shared" ref="K35" si="38">J35-J34</f>
        <v>7.481296758104738E-3</v>
      </c>
      <c r="L35" s="3">
        <f>G35/E35</f>
        <v>7.481296758104738E-3</v>
      </c>
      <c r="M35" s="3">
        <f t="shared" ref="M35:M53" si="39">L35-L34</f>
        <v>7.481296758104738E-3</v>
      </c>
      <c r="N35" s="3"/>
      <c r="O35" s="3"/>
      <c r="P35" s="3"/>
      <c r="Q35" s="4">
        <f t="shared" ref="Q35" si="40">M35*(P$30/600000)</f>
        <v>3.6658354114713215E-2</v>
      </c>
      <c r="R35" s="3"/>
      <c r="S35" s="3"/>
    </row>
    <row r="36" spans="1:19" x14ac:dyDescent="0.2">
      <c r="A36" s="5">
        <v>45727</v>
      </c>
      <c r="B36" s="3" t="s">
        <v>15</v>
      </c>
      <c r="C36" s="3" t="s">
        <v>8</v>
      </c>
      <c r="D36" s="3" t="s">
        <v>3</v>
      </c>
      <c r="E36" s="3">
        <v>410</v>
      </c>
      <c r="F36" s="3">
        <v>1</v>
      </c>
      <c r="G36" s="3">
        <v>1</v>
      </c>
      <c r="H36" s="3">
        <v>25</v>
      </c>
      <c r="I36" s="3">
        <v>40</v>
      </c>
      <c r="J36" s="1">
        <v>2.3999999999999998E-3</v>
      </c>
      <c r="K36" s="3"/>
      <c r="L36" s="3">
        <f t="shared" ref="L36:L53" si="41">G36/E36</f>
        <v>2.4390243902439024E-3</v>
      </c>
      <c r="M36" s="3"/>
      <c r="N36" s="1">
        <v>1.26E-2</v>
      </c>
      <c r="O36" s="1">
        <v>4.4999999999999997E-3</v>
      </c>
      <c r="P36" s="4">
        <v>1390000</v>
      </c>
      <c r="Q36" s="3"/>
      <c r="R36" s="3">
        <v>6.7000000000000004E-2</v>
      </c>
      <c r="S36" s="3">
        <v>2.7E-2</v>
      </c>
    </row>
    <row r="37" spans="1:19" x14ac:dyDescent="0.2">
      <c r="A37" s="5">
        <v>45727</v>
      </c>
      <c r="B37" s="3" t="s">
        <v>15</v>
      </c>
      <c r="C37" s="3" t="s">
        <v>9</v>
      </c>
      <c r="D37" s="3" t="s">
        <v>3</v>
      </c>
      <c r="E37" s="3">
        <v>409</v>
      </c>
      <c r="F37" s="3">
        <v>4</v>
      </c>
      <c r="G37" s="3">
        <v>4</v>
      </c>
      <c r="H37" s="3">
        <v>21</v>
      </c>
      <c r="I37" s="3">
        <v>40</v>
      </c>
      <c r="J37" s="1">
        <v>9.7999999999999997E-3</v>
      </c>
      <c r="K37" s="1">
        <v>7.3000000000000001E-3</v>
      </c>
      <c r="L37" s="3">
        <f t="shared" si="41"/>
        <v>9.7799511002444987E-3</v>
      </c>
      <c r="M37" s="3">
        <f t="shared" si="39"/>
        <v>7.3409267100005959E-3</v>
      </c>
      <c r="N37" s="3"/>
      <c r="O37" s="3"/>
      <c r="P37" s="3"/>
      <c r="Q37" s="4">
        <f>M37*(P$36/280000)</f>
        <v>3.6442457596074389E-2</v>
      </c>
      <c r="R37" s="3"/>
      <c r="S37" s="3"/>
    </row>
    <row r="38" spans="1:19" x14ac:dyDescent="0.2">
      <c r="A38" s="5">
        <v>45727</v>
      </c>
      <c r="B38" s="3" t="s">
        <v>15</v>
      </c>
      <c r="C38" s="3" t="s">
        <v>8</v>
      </c>
      <c r="D38" s="3" t="s">
        <v>4</v>
      </c>
      <c r="E38" s="3">
        <v>421</v>
      </c>
      <c r="F38" s="3">
        <v>2</v>
      </c>
      <c r="G38" s="3">
        <v>2</v>
      </c>
      <c r="H38" s="3">
        <v>29</v>
      </c>
      <c r="I38" s="3">
        <v>40</v>
      </c>
      <c r="J38" s="1">
        <v>4.7999999999999996E-3</v>
      </c>
      <c r="K38" s="3"/>
      <c r="L38" s="3">
        <f t="shared" si="41"/>
        <v>4.7505938242280287E-3</v>
      </c>
      <c r="M38" s="3"/>
      <c r="N38" s="3"/>
      <c r="O38" s="3"/>
      <c r="P38" s="3"/>
      <c r="Q38" s="3"/>
      <c r="R38" s="3"/>
      <c r="S38" s="3"/>
    </row>
    <row r="39" spans="1:19" x14ac:dyDescent="0.2">
      <c r="A39" s="5">
        <v>45727</v>
      </c>
      <c r="B39" s="3" t="s">
        <v>15</v>
      </c>
      <c r="C39" s="3" t="s">
        <v>9</v>
      </c>
      <c r="D39" s="3" t="s">
        <v>4</v>
      </c>
      <c r="E39" s="3">
        <v>401</v>
      </c>
      <c r="F39" s="3">
        <v>8</v>
      </c>
      <c r="G39" s="3">
        <v>8</v>
      </c>
      <c r="H39" s="3">
        <v>26</v>
      </c>
      <c r="I39" s="3">
        <v>40</v>
      </c>
      <c r="J39" s="1">
        <v>0.02</v>
      </c>
      <c r="K39" s="1">
        <v>1.52E-2</v>
      </c>
      <c r="L39" s="3">
        <f t="shared" si="41"/>
        <v>1.9950124688279301E-2</v>
      </c>
      <c r="M39" s="3">
        <f t="shared" si="39"/>
        <v>1.5199530864051273E-2</v>
      </c>
      <c r="N39" s="3"/>
      <c r="O39" s="3"/>
      <c r="P39" s="3"/>
      <c r="Q39" s="4">
        <f t="shared" ref="Q39" si="42">M39*(P$36/280000)</f>
        <v>7.5454813932254533E-2</v>
      </c>
      <c r="R39" s="3"/>
      <c r="S39" s="3"/>
    </row>
    <row r="40" spans="1:19" x14ac:dyDescent="0.2">
      <c r="A40" s="5">
        <v>45727</v>
      </c>
      <c r="B40" s="3" t="s">
        <v>15</v>
      </c>
      <c r="C40" s="3" t="s">
        <v>8</v>
      </c>
      <c r="D40" s="3" t="s">
        <v>5</v>
      </c>
      <c r="E40" s="3">
        <v>409</v>
      </c>
      <c r="F40" s="3">
        <v>3</v>
      </c>
      <c r="G40" s="3">
        <v>3</v>
      </c>
      <c r="H40" s="3">
        <v>28</v>
      </c>
      <c r="I40" s="3">
        <v>40</v>
      </c>
      <c r="J40" s="1">
        <v>7.3000000000000001E-3</v>
      </c>
      <c r="K40" s="3"/>
      <c r="L40" s="3">
        <f t="shared" si="41"/>
        <v>7.3349633251833741E-3</v>
      </c>
      <c r="M40" s="3"/>
      <c r="N40" s="3"/>
      <c r="O40" s="3"/>
      <c r="P40" s="3"/>
      <c r="Q40" s="3"/>
      <c r="R40" s="3"/>
      <c r="S40" s="3"/>
    </row>
    <row r="41" spans="1:19" x14ac:dyDescent="0.2">
      <c r="A41" s="5">
        <v>45727</v>
      </c>
      <c r="B41" s="3" t="s">
        <v>15</v>
      </c>
      <c r="C41" s="3" t="s">
        <v>9</v>
      </c>
      <c r="D41" s="3" t="s">
        <v>5</v>
      </c>
      <c r="E41" s="3">
        <v>400</v>
      </c>
      <c r="F41" s="3">
        <v>9</v>
      </c>
      <c r="G41" s="3">
        <v>10</v>
      </c>
      <c r="H41" s="3">
        <v>20</v>
      </c>
      <c r="I41" s="3">
        <v>40</v>
      </c>
      <c r="J41" s="1">
        <v>2.2499999999999999E-2</v>
      </c>
      <c r="K41" s="1">
        <v>1.52E-2</v>
      </c>
      <c r="L41" s="3">
        <f t="shared" si="41"/>
        <v>2.5000000000000001E-2</v>
      </c>
      <c r="M41" s="3">
        <f t="shared" si="39"/>
        <v>1.7665036674816628E-2</v>
      </c>
      <c r="N41" s="3"/>
      <c r="O41" s="3"/>
      <c r="P41" s="3"/>
      <c r="Q41" s="4">
        <f t="shared" ref="Q41" si="43">M41*(P$36/280000)</f>
        <v>8.7694289207125409E-2</v>
      </c>
      <c r="R41" s="3"/>
      <c r="S41" s="3"/>
    </row>
    <row r="42" spans="1:19" x14ac:dyDescent="0.2">
      <c r="A42" s="5">
        <v>46093</v>
      </c>
      <c r="B42" s="3" t="s">
        <v>16</v>
      </c>
      <c r="C42" s="3" t="s">
        <v>8</v>
      </c>
      <c r="D42" s="3" t="s">
        <v>3</v>
      </c>
      <c r="E42" s="3">
        <v>400</v>
      </c>
      <c r="F42" s="3">
        <v>2</v>
      </c>
      <c r="G42" s="3">
        <v>2</v>
      </c>
      <c r="H42" s="3">
        <v>40</v>
      </c>
      <c r="I42" s="3">
        <v>40</v>
      </c>
      <c r="J42" s="1">
        <v>5.0000000000000001E-3</v>
      </c>
      <c r="K42" s="3"/>
      <c r="L42" s="3">
        <f t="shared" si="41"/>
        <v>5.0000000000000001E-3</v>
      </c>
      <c r="M42" s="3"/>
      <c r="N42" s="3"/>
      <c r="O42" s="3"/>
      <c r="P42" s="4">
        <v>1680000</v>
      </c>
      <c r="Q42" s="3"/>
      <c r="R42" s="3">
        <v>5.7000000000000002E-2</v>
      </c>
      <c r="S42" s="3">
        <v>3.5999999999999997E-2</v>
      </c>
    </row>
    <row r="43" spans="1:19" x14ac:dyDescent="0.2">
      <c r="A43" s="5">
        <v>46093</v>
      </c>
      <c r="B43" s="3" t="s">
        <v>16</v>
      </c>
      <c r="C43" s="3" t="s">
        <v>9</v>
      </c>
      <c r="D43" s="3" t="s">
        <v>3</v>
      </c>
      <c r="E43" s="3">
        <v>413</v>
      </c>
      <c r="F43" s="3">
        <v>5</v>
      </c>
      <c r="G43" s="3">
        <v>5</v>
      </c>
      <c r="H43" s="3">
        <v>27</v>
      </c>
      <c r="I43" s="3">
        <v>100</v>
      </c>
      <c r="J43" s="1">
        <v>1.21E-2</v>
      </c>
      <c r="K43" s="1">
        <v>7.1000000000000004E-3</v>
      </c>
      <c r="L43" s="3">
        <f t="shared" si="41"/>
        <v>1.2106537530266344E-2</v>
      </c>
      <c r="M43" s="3">
        <f t="shared" si="39"/>
        <v>7.1065375302663434E-3</v>
      </c>
      <c r="N43" s="1">
        <v>9.9000000000000008E-3</v>
      </c>
      <c r="O43" s="1">
        <v>4.4999999999999997E-3</v>
      </c>
      <c r="P43" s="3"/>
      <c r="Q43" s="4">
        <f>M43*(P$42/340000)</f>
        <v>3.5114656031904286E-2</v>
      </c>
      <c r="R43" s="3"/>
      <c r="S43" s="3"/>
    </row>
    <row r="44" spans="1:19" x14ac:dyDescent="0.2">
      <c r="A44" s="5">
        <v>46093</v>
      </c>
      <c r="B44" s="3" t="s">
        <v>16</v>
      </c>
      <c r="C44" s="3" t="s">
        <v>8</v>
      </c>
      <c r="D44" s="3" t="s">
        <v>4</v>
      </c>
      <c r="E44" s="3">
        <v>415</v>
      </c>
      <c r="F44" s="3">
        <v>1</v>
      </c>
      <c r="G44" s="3">
        <v>1</v>
      </c>
      <c r="H44" s="3">
        <v>29</v>
      </c>
      <c r="I44" s="3">
        <v>100</v>
      </c>
      <c r="J44" s="1">
        <v>2.3999999999999998E-3</v>
      </c>
      <c r="K44" s="3"/>
      <c r="L44" s="3">
        <f t="shared" si="41"/>
        <v>2.4096385542168677E-3</v>
      </c>
      <c r="M44" s="3"/>
      <c r="N44" s="3"/>
      <c r="O44" s="3"/>
      <c r="P44" s="3"/>
      <c r="Q44" s="3"/>
      <c r="R44" s="3"/>
      <c r="S44" s="3"/>
    </row>
    <row r="45" spans="1:19" x14ac:dyDescent="0.2">
      <c r="A45" s="5">
        <v>46093</v>
      </c>
      <c r="B45" s="3" t="s">
        <v>16</v>
      </c>
      <c r="C45" s="3" t="s">
        <v>9</v>
      </c>
      <c r="D45" s="3" t="s">
        <v>4</v>
      </c>
      <c r="E45" s="3">
        <v>402</v>
      </c>
      <c r="F45" s="3">
        <v>7</v>
      </c>
      <c r="G45" s="3">
        <v>9</v>
      </c>
      <c r="H45" s="3">
        <v>27</v>
      </c>
      <c r="I45" s="3">
        <v>100</v>
      </c>
      <c r="J45" s="1">
        <v>1.7399999999999999E-2</v>
      </c>
      <c r="K45" s="1">
        <v>1.4999999999999999E-2</v>
      </c>
      <c r="L45" s="3">
        <f t="shared" si="41"/>
        <v>2.2388059701492536E-2</v>
      </c>
      <c r="M45" s="3">
        <f t="shared" si="39"/>
        <v>1.9978421147275667E-2</v>
      </c>
      <c r="N45" s="3"/>
      <c r="O45" s="3"/>
      <c r="P45" s="3"/>
      <c r="Q45" s="4">
        <f t="shared" ref="Q45" si="44">M45*(P$42/340000)</f>
        <v>9.8716904492420945E-2</v>
      </c>
      <c r="R45" s="3"/>
      <c r="S45" s="3"/>
    </row>
    <row r="46" spans="1:19" x14ac:dyDescent="0.2">
      <c r="A46" s="5">
        <v>46093</v>
      </c>
      <c r="B46" s="3" t="s">
        <v>16</v>
      </c>
      <c r="C46" s="3" t="s">
        <v>8</v>
      </c>
      <c r="D46" s="3" t="s">
        <v>5</v>
      </c>
      <c r="E46" s="3">
        <v>401</v>
      </c>
      <c r="F46" s="3">
        <v>1</v>
      </c>
      <c r="G46" s="3">
        <v>1</v>
      </c>
      <c r="H46" s="3">
        <v>33</v>
      </c>
      <c r="I46" s="3">
        <v>100</v>
      </c>
      <c r="J46" s="1">
        <v>2.5000000000000001E-3</v>
      </c>
      <c r="K46" s="3"/>
      <c r="L46" s="3">
        <f t="shared" si="41"/>
        <v>2.4937655860349127E-3</v>
      </c>
      <c r="M46" s="3"/>
      <c r="N46" s="3"/>
      <c r="O46" s="3"/>
      <c r="P46" s="3"/>
      <c r="Q46" s="3"/>
      <c r="R46" s="3"/>
      <c r="S46" s="3"/>
    </row>
    <row r="47" spans="1:19" x14ac:dyDescent="0.2">
      <c r="A47" s="5">
        <v>46093</v>
      </c>
      <c r="B47" s="3" t="s">
        <v>16</v>
      </c>
      <c r="C47" s="3" t="s">
        <v>9</v>
      </c>
      <c r="D47" s="3" t="s">
        <v>5</v>
      </c>
      <c r="E47" s="3">
        <v>402</v>
      </c>
      <c r="F47" s="3">
        <v>4</v>
      </c>
      <c r="G47" s="3">
        <v>4</v>
      </c>
      <c r="H47" s="3">
        <v>27</v>
      </c>
      <c r="I47" s="3">
        <v>100</v>
      </c>
      <c r="J47" s="1">
        <v>0.01</v>
      </c>
      <c r="K47" s="1">
        <v>7.4999999999999997E-3</v>
      </c>
      <c r="L47" s="3">
        <f t="shared" si="41"/>
        <v>9.9502487562189053E-3</v>
      </c>
      <c r="M47" s="3">
        <f t="shared" si="39"/>
        <v>7.4564831701839926E-3</v>
      </c>
      <c r="N47" s="3"/>
      <c r="O47" s="3"/>
      <c r="P47" s="3"/>
      <c r="Q47" s="4">
        <f t="shared" ref="Q47" si="45">M47*(P$42/340000)</f>
        <v>3.6843799193850321E-2</v>
      </c>
      <c r="R47" s="3"/>
      <c r="S47" s="3"/>
    </row>
    <row r="48" spans="1:19" x14ac:dyDescent="0.2">
      <c r="A48" s="5">
        <v>46093</v>
      </c>
      <c r="B48" s="3" t="s">
        <v>17</v>
      </c>
      <c r="C48" s="3" t="s">
        <v>8</v>
      </c>
      <c r="D48" s="3" t="s">
        <v>3</v>
      </c>
      <c r="E48" s="3">
        <v>408</v>
      </c>
      <c r="F48" s="3">
        <v>0</v>
      </c>
      <c r="G48" s="3">
        <v>0</v>
      </c>
      <c r="H48" s="3">
        <v>30</v>
      </c>
      <c r="I48" s="3">
        <v>40</v>
      </c>
      <c r="J48" s="1">
        <v>0</v>
      </c>
      <c r="K48" s="3"/>
      <c r="L48" s="3">
        <f t="shared" si="41"/>
        <v>0</v>
      </c>
      <c r="M48" s="3"/>
      <c r="N48" s="3"/>
      <c r="O48" s="3"/>
      <c r="P48" s="4">
        <v>1320000</v>
      </c>
      <c r="Q48" s="3"/>
      <c r="R48" s="3">
        <v>7.8E-2</v>
      </c>
      <c r="S48" s="3">
        <v>2.5999999999999999E-2</v>
      </c>
    </row>
    <row r="49" spans="1:19" x14ac:dyDescent="0.2">
      <c r="A49" s="5">
        <v>46093</v>
      </c>
      <c r="B49" s="3" t="s">
        <v>17</v>
      </c>
      <c r="C49" s="3" t="s">
        <v>9</v>
      </c>
      <c r="D49" s="3" t="s">
        <v>3</v>
      </c>
      <c r="E49" s="3">
        <v>415</v>
      </c>
      <c r="F49" s="3">
        <v>8</v>
      </c>
      <c r="G49" s="3">
        <v>8</v>
      </c>
      <c r="H49" s="3">
        <v>21</v>
      </c>
      <c r="I49" s="3">
        <v>40</v>
      </c>
      <c r="J49" s="1">
        <v>1.9300000000000001E-2</v>
      </c>
      <c r="K49" s="1">
        <v>1.9300000000000001E-2</v>
      </c>
      <c r="L49" s="3">
        <f t="shared" si="41"/>
        <v>1.9277108433734941E-2</v>
      </c>
      <c r="M49" s="3">
        <f t="shared" si="39"/>
        <v>1.9277108433734941E-2</v>
      </c>
      <c r="N49" s="3"/>
      <c r="O49" s="3"/>
      <c r="P49" s="3"/>
      <c r="Q49" s="4">
        <f>M49*(P$48/260000)</f>
        <v>9.7868396663577384E-2</v>
      </c>
      <c r="R49" s="3"/>
      <c r="S49" s="3"/>
    </row>
    <row r="50" spans="1:19" x14ac:dyDescent="0.2">
      <c r="A50" s="5">
        <v>46093</v>
      </c>
      <c r="B50" s="3" t="s">
        <v>17</v>
      </c>
      <c r="C50" s="3" t="s">
        <v>8</v>
      </c>
      <c r="D50" s="3" t="s">
        <v>4</v>
      </c>
      <c r="E50" s="3">
        <v>407</v>
      </c>
      <c r="F50" s="3">
        <v>1</v>
      </c>
      <c r="G50" s="3">
        <v>1</v>
      </c>
      <c r="H50" s="3">
        <v>23</v>
      </c>
      <c r="I50" s="3">
        <v>40</v>
      </c>
      <c r="J50" s="1">
        <v>2.5000000000000001E-3</v>
      </c>
      <c r="K50" s="3"/>
      <c r="L50" s="3">
        <f t="shared" si="41"/>
        <v>2.4570024570024569E-3</v>
      </c>
      <c r="M50" s="3"/>
      <c r="N50" s="1">
        <v>1.34E-2</v>
      </c>
      <c r="O50" s="1">
        <v>5.4000000000000003E-3</v>
      </c>
      <c r="P50" s="3"/>
      <c r="Q50" s="3"/>
      <c r="R50" s="3"/>
      <c r="S50" s="3"/>
    </row>
    <row r="51" spans="1:19" x14ac:dyDescent="0.2">
      <c r="A51" s="5">
        <v>46093</v>
      </c>
      <c r="B51" s="3" t="s">
        <v>17</v>
      </c>
      <c r="C51" s="3" t="s">
        <v>9</v>
      </c>
      <c r="D51" s="3" t="s">
        <v>4</v>
      </c>
      <c r="E51" s="3">
        <v>405</v>
      </c>
      <c r="F51" s="3">
        <v>8</v>
      </c>
      <c r="G51" s="3">
        <v>8</v>
      </c>
      <c r="H51" s="3">
        <v>21</v>
      </c>
      <c r="I51" s="3">
        <v>40</v>
      </c>
      <c r="J51" s="1">
        <v>1.9800000000000002E-2</v>
      </c>
      <c r="K51" s="1">
        <v>1.7299999999999999E-2</v>
      </c>
      <c r="L51" s="3">
        <f t="shared" si="41"/>
        <v>1.9753086419753086E-2</v>
      </c>
      <c r="M51" s="3">
        <f t="shared" si="39"/>
        <v>1.729608396275063E-2</v>
      </c>
      <c r="N51" s="3"/>
      <c r="O51" s="3"/>
      <c r="P51" s="3"/>
      <c r="Q51" s="4">
        <f t="shared" ref="Q51" si="46">M51*(P$48/260000)</f>
        <v>8.7810887810887805E-2</v>
      </c>
      <c r="R51" s="3"/>
      <c r="S51" s="3"/>
    </row>
    <row r="52" spans="1:19" x14ac:dyDescent="0.2">
      <c r="A52" s="5">
        <v>46093</v>
      </c>
      <c r="B52" s="3" t="s">
        <v>17</v>
      </c>
      <c r="C52" s="3" t="s">
        <v>8</v>
      </c>
      <c r="D52" s="3" t="s">
        <v>5</v>
      </c>
      <c r="E52" s="3">
        <v>403</v>
      </c>
      <c r="F52" s="3">
        <v>1</v>
      </c>
      <c r="G52" s="3">
        <v>1</v>
      </c>
      <c r="H52" s="3">
        <v>25</v>
      </c>
      <c r="I52" s="3">
        <v>40</v>
      </c>
      <c r="J52" s="1">
        <v>2.5000000000000001E-3</v>
      </c>
      <c r="K52" s="3"/>
      <c r="L52" s="3">
        <f t="shared" si="41"/>
        <v>2.4813895781637717E-3</v>
      </c>
      <c r="M52" s="3"/>
      <c r="N52" s="3"/>
      <c r="O52" s="3"/>
      <c r="P52" s="3"/>
      <c r="Q52" s="3"/>
      <c r="R52" s="3"/>
      <c r="S52" s="3"/>
    </row>
    <row r="53" spans="1:19" x14ac:dyDescent="0.2">
      <c r="A53" s="5">
        <v>46093</v>
      </c>
      <c r="B53" s="3" t="s">
        <v>17</v>
      </c>
      <c r="C53" s="3" t="s">
        <v>9</v>
      </c>
      <c r="D53" s="3" t="s">
        <v>5</v>
      </c>
      <c r="E53" s="3">
        <v>414</v>
      </c>
      <c r="F53" s="3">
        <v>5</v>
      </c>
      <c r="G53" s="3">
        <v>5</v>
      </c>
      <c r="H53" s="3">
        <v>18</v>
      </c>
      <c r="I53" s="3">
        <v>40</v>
      </c>
      <c r="J53" s="1">
        <v>1.21E-2</v>
      </c>
      <c r="K53" s="1">
        <v>9.5999999999999992E-3</v>
      </c>
      <c r="L53" s="3">
        <f t="shared" si="41"/>
        <v>1.2077294685990338E-2</v>
      </c>
      <c r="M53" s="3">
        <f t="shared" si="39"/>
        <v>9.5959051078265654E-3</v>
      </c>
      <c r="N53" s="3"/>
      <c r="O53" s="3"/>
      <c r="P53" s="3"/>
      <c r="Q53" s="4">
        <f t="shared" ref="Q53" si="47">M53*(P$48/260000)</f>
        <v>4.8717672085888716E-2</v>
      </c>
      <c r="R53" s="3"/>
      <c r="S53" s="3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FLP</vt:lpstr>
      <vt:lpstr>FLP_toplot</vt:lpstr>
      <vt:lpstr>Raw_FLP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 Zwiers Cook</dc:creator>
  <cp:lastModifiedBy>Claire Zwiers Cook</cp:lastModifiedBy>
  <dcterms:created xsi:type="dcterms:W3CDTF">2025-05-15T15:11:25Z</dcterms:created>
  <dcterms:modified xsi:type="dcterms:W3CDTF">2026-07-29T18:03:07Z</dcterms:modified>
</cp:coreProperties>
</file>