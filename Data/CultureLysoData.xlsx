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ccz99536_uga_edu/Documents/Cruises/NES_CCS_Comparison/AcidotropicManuscript/AcidotropicDyes/Data/"/>
    </mc:Choice>
  </mc:AlternateContent>
  <xr:revisionPtr revIDLastSave="305" documentId="14_{3E5DAE11-4240-B84C-8A20-1DB894A86FC3}" xr6:coauthVersionLast="47" xr6:coauthVersionMax="47" xr10:uidLastSave="{4FA63613-2252-0F46-BE83-2B8CDBACC829}"/>
  <bookViews>
    <workbookView xWindow="38400" yWindow="720" windowWidth="30240" windowHeight="18880" xr2:uid="{607BD773-A4C5-F849-B861-90CB68BD1820}"/>
  </bookViews>
  <sheets>
    <sheet name="CytPix" sheetId="1" r:id="rId1"/>
    <sheet name="Guava" sheetId="2" r:id="rId2"/>
  </sheets>
  <definedNames>
    <definedName name="_xlnm._FilterDatabase" localSheetId="0" hidden="1">CytPix!$A$1:$L$66</definedName>
    <definedName name="_xlnm._FilterDatabase" localSheetId="1" hidden="1">Guava!$A$1:$G$44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9" i="1" l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<sst xmlns="http://schemas.openxmlformats.org/spreadsheetml/2006/main" count="337" uniqueCount="48">
  <si>
    <t>Name</t>
  </si>
  <si>
    <t>Cytometer</t>
  </si>
  <si>
    <t>Type</t>
  </si>
  <si>
    <t>ln</t>
  </si>
  <si>
    <t>Guava</t>
  </si>
  <si>
    <t>M. antarctica</t>
  </si>
  <si>
    <t>P. tychotreta</t>
  </si>
  <si>
    <t>F. cylindrus</t>
  </si>
  <si>
    <t>G. huxleyi</t>
  </si>
  <si>
    <t>G. oceanica</t>
  </si>
  <si>
    <t xml:space="preserve">Chlamydomonas sp. </t>
  </si>
  <si>
    <t>T. chui</t>
  </si>
  <si>
    <t xml:space="preserve">Tetraselmis sp. </t>
  </si>
  <si>
    <t>CytPix</t>
  </si>
  <si>
    <t>O. rostrata</t>
  </si>
  <si>
    <t>M. polaris</t>
  </si>
  <si>
    <t>P. tricornutum</t>
  </si>
  <si>
    <t>SdSensor</t>
  </si>
  <si>
    <t>Tracker</t>
  </si>
  <si>
    <t>Sensor</t>
  </si>
  <si>
    <t xml:space="preserve">Odontella sp. </t>
  </si>
  <si>
    <t>CellConcentration</t>
  </si>
  <si>
    <t>Chaetoceros sp. 12</t>
  </si>
  <si>
    <t>Chaetoceros sp. 22</t>
  </si>
  <si>
    <t>Chaetoceros sp. 02</t>
  </si>
  <si>
    <t>G. cryophila</t>
  </si>
  <si>
    <t>C. neogracile</t>
  </si>
  <si>
    <t>P. subcurvata</t>
  </si>
  <si>
    <t>DateTracker</t>
  </si>
  <si>
    <t>DateSensor</t>
  </si>
  <si>
    <t>SdTracker</t>
  </si>
  <si>
    <t>Bacillariophyceae</t>
  </si>
  <si>
    <t>Pyramimonadophyceae</t>
  </si>
  <si>
    <t>Chlorophyceae</t>
  </si>
  <si>
    <t>Mamiellophyceae</t>
  </si>
  <si>
    <t>Cryptophyceae</t>
  </si>
  <si>
    <t>P. micans</t>
  </si>
  <si>
    <t>Dinophyceae</t>
  </si>
  <si>
    <t>Chlorodendrophyceae</t>
  </si>
  <si>
    <t>Prymnesiophyceae</t>
  </si>
  <si>
    <t>A. sanguinea</t>
  </si>
  <si>
    <t>Chrysophyceae</t>
  </si>
  <si>
    <t>AvTracker</t>
  </si>
  <si>
    <t>Metabolism</t>
  </si>
  <si>
    <t>Autotroph</t>
  </si>
  <si>
    <t>Mixotroph</t>
  </si>
  <si>
    <t>Ochromonas sp. 2951</t>
  </si>
  <si>
    <t>Ochromonas sp. 1393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</si>
</sst>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1" applyFont="1" applyFill="1"/>
    <xf numFmtId="0" fontId="2" fillId="0" borderId="0" xfId="0" applyFont="1"/>
    <xf numFmtId="9" fontId="0" fillId="0" borderId="0" xfId="1" applyFont="1"/>
    <xf numFmtId="14" fontId="0" fillId="0" borderId="0" xfId="0" applyNumberFormat="1"/>
    <xf numFmtId="0" fontId="3" fillId="0" borderId="0" xfId="0" applyFont="1"/>
    <xf numFmtId="164" fontId="0" fillId="0" borderId="0" xfId="1" applyNumberFormat="1" applyFont="1"/>
    <xf numFmtId="9" fontId="2" fillId="0" borderId="0" xfId="1" applyFont="1"/>
    <xf numFmtId="14" fontId="4" fillId="0" borderId="0" xfId="0" applyNumberFormat="1" applyFont="1"/>
    <xf numFmtId="9" fontId="3" fillId="0" borderId="0" xfId="0" applyNumberFormat="1" applyFont="1"/>
    <xf numFmtId="0" fontId="0" fillId="0" borderId="0" xfId="1" applyNumberFormat="1" applyFont="1"/>
    <xf numFmtId="14" fontId="3" fillId="0" borderId="0" xfId="0" applyNumberFormat="1" applyFont="1"/>
    <xf numFmtId="9" fontId="5" fillId="0" borderId="0" xfId="0" applyNumberFormat="1" applyFont="1"/>
    <xf numFmtId="9" fontId="6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FA7F-BC6A-F048-8F8F-5AAFD6033654}">
  <dimension ref="A1:L69"/>
  <sheetViews>
    <sheetView tabSelected="1" topLeftCell="A53" workbookViewId="0">
      <selection activeCell="H65" sqref="H65"/>
    </sheetView>
  </sheetViews>
  <sheetFormatPr baseColWidth="10" defaultRowHeight="16" x14ac:dyDescent="0.2"/>
  <cols>
    <col min="1" max="1" width="18.33203125" bestFit="1" customWidth="1"/>
    <col min="2" max="2" width="20.1640625" bestFit="1" customWidth="1"/>
    <col min="3" max="3" width="18.33203125" customWidth="1"/>
    <col min="4" max="4" width="12.33203125" bestFit="1" customWidth="1"/>
    <col min="5" max="5" width="13.6640625" style="4" bestFit="1" customWidth="1"/>
    <col min="6" max="6" width="13.1640625" style="4" bestFit="1" customWidth="1"/>
    <col min="7" max="7" width="9.6640625" bestFit="1" customWidth="1"/>
    <col min="8" max="8" width="11.6640625" bestFit="1" customWidth="1"/>
    <col min="9" max="9" width="9.1640625" bestFit="1" customWidth="1"/>
    <col min="10" max="10" width="11.1640625" bestFit="1" customWidth="1"/>
    <col min="11" max="11" width="19" bestFit="1" customWidth="1"/>
    <col min="12" max="12" width="12.1640625" bestFit="1" customWidth="1"/>
  </cols>
  <sheetData>
    <row r="1" spans="1:12" x14ac:dyDescent="0.2">
      <c r="A1" t="s">
        <v>0</v>
      </c>
      <c r="B1" t="s">
        <v>2</v>
      </c>
      <c r="C1" t="s">
        <v>43</v>
      </c>
      <c r="D1" t="s">
        <v>1</v>
      </c>
      <c r="E1" s="4" t="s">
        <v>28</v>
      </c>
      <c r="F1" s="4" t="s">
        <v>29</v>
      </c>
      <c r="G1" t="s">
        <v>18</v>
      </c>
      <c r="H1" t="s">
        <v>30</v>
      </c>
      <c r="I1" t="s">
        <v>19</v>
      </c>
      <c r="J1" t="s">
        <v>17</v>
      </c>
      <c r="K1" t="s">
        <v>21</v>
      </c>
      <c r="L1" t="s">
        <v>3</v>
      </c>
    </row>
    <row r="2" spans="1:12" x14ac:dyDescent="0.2">
      <c r="A2" t="s">
        <v>22</v>
      </c>
      <c r="B2" t="s">
        <v>31</v>
      </c>
      <c r="C2" t="s">
        <v>44</v>
      </c>
      <c r="D2" t="s">
        <v>13</v>
      </c>
      <c r="E2" s="4">
        <v>45555</v>
      </c>
      <c r="F2" s="4">
        <v>45555</v>
      </c>
      <c r="G2" s="3">
        <v>0.96367738208909315</v>
      </c>
      <c r="H2" s="3">
        <v>1.7823611232106101E-2</v>
      </c>
      <c r="I2" s="3">
        <v>0.87570134058324944</v>
      </c>
      <c r="J2" s="3">
        <v>1.2418039015700804E-2</v>
      </c>
      <c r="K2">
        <v>1598</v>
      </c>
      <c r="L2">
        <f t="shared" ref="L2:L60" si="0">LN(K2)</f>
        <v>7.37650812632622</v>
      </c>
    </row>
    <row r="3" spans="1:12" x14ac:dyDescent="0.2">
      <c r="A3" t="s">
        <v>23</v>
      </c>
      <c r="B3" t="s">
        <v>31</v>
      </c>
      <c r="C3" t="s">
        <v>44</v>
      </c>
      <c r="D3" t="s">
        <v>13</v>
      </c>
      <c r="E3" s="4">
        <v>45555</v>
      </c>
      <c r="F3" s="4">
        <v>45555</v>
      </c>
      <c r="G3" s="3">
        <v>0.86962748608203688</v>
      </c>
      <c r="H3" s="3">
        <v>2.4052242632606483E-2</v>
      </c>
      <c r="I3" s="3">
        <v>0.71843396450042585</v>
      </c>
      <c r="J3" s="3">
        <v>7.534590099211691E-2</v>
      </c>
      <c r="K3">
        <v>5645</v>
      </c>
      <c r="L3">
        <f t="shared" si="0"/>
        <v>8.6385254765837622</v>
      </c>
    </row>
    <row r="4" spans="1:12" x14ac:dyDescent="0.2">
      <c r="A4" t="s">
        <v>14</v>
      </c>
      <c r="B4" t="s">
        <v>31</v>
      </c>
      <c r="C4" t="s">
        <v>44</v>
      </c>
      <c r="D4" t="s">
        <v>13</v>
      </c>
      <c r="E4" s="4">
        <v>45555</v>
      </c>
      <c r="F4" s="4">
        <v>45555</v>
      </c>
      <c r="G4" s="3">
        <v>0.9686560090454871</v>
      </c>
      <c r="H4" s="3">
        <v>1.6963783335113582E-2</v>
      </c>
      <c r="I4" s="3">
        <v>0.93349185687857927</v>
      </c>
      <c r="J4" s="3">
        <v>5.1651680422318838E-2</v>
      </c>
      <c r="K4">
        <v>5583</v>
      </c>
      <c r="L4">
        <f t="shared" si="0"/>
        <v>8.6274815453103599</v>
      </c>
    </row>
    <row r="5" spans="1:12" x14ac:dyDescent="0.2">
      <c r="A5" t="s">
        <v>27</v>
      </c>
      <c r="B5" t="s">
        <v>31</v>
      </c>
      <c r="C5" t="s">
        <v>44</v>
      </c>
      <c r="D5" t="s">
        <v>13</v>
      </c>
      <c r="E5" s="4">
        <v>45555</v>
      </c>
      <c r="F5" s="4">
        <v>45555</v>
      </c>
      <c r="G5" s="3">
        <v>0.97028051521169378</v>
      </c>
      <c r="H5" s="3">
        <v>1.1476635395607981E-2</v>
      </c>
      <c r="I5" s="3">
        <v>8.8439781035819474E-3</v>
      </c>
      <c r="J5" s="3">
        <v>1.8034715433451368E-2</v>
      </c>
      <c r="K5">
        <v>4153</v>
      </c>
      <c r="L5">
        <f t="shared" si="0"/>
        <v>8.3315862436307544</v>
      </c>
    </row>
    <row r="6" spans="1:12" x14ac:dyDescent="0.2">
      <c r="A6" t="s">
        <v>6</v>
      </c>
      <c r="B6" t="s">
        <v>32</v>
      </c>
      <c r="C6" t="s">
        <v>45</v>
      </c>
      <c r="D6" t="s">
        <v>13</v>
      </c>
      <c r="E6" s="4">
        <v>45555</v>
      </c>
      <c r="F6" s="4">
        <v>45555</v>
      </c>
      <c r="G6" s="3">
        <v>0.92293192635924648</v>
      </c>
      <c r="H6" s="3">
        <v>4.784018943371008E-2</v>
      </c>
      <c r="I6" s="3">
        <v>3.0911396090108373E-2</v>
      </c>
      <c r="J6" s="3">
        <v>9.944643495296621E-3</v>
      </c>
      <c r="K6">
        <v>1464.5</v>
      </c>
      <c r="L6">
        <f t="shared" si="0"/>
        <v>7.289269166267788</v>
      </c>
    </row>
    <row r="7" spans="1:12" x14ac:dyDescent="0.2">
      <c r="A7" t="s">
        <v>22</v>
      </c>
      <c r="B7" t="s">
        <v>31</v>
      </c>
      <c r="C7" t="s">
        <v>44</v>
      </c>
      <c r="D7" t="s">
        <v>13</v>
      </c>
      <c r="E7" s="4">
        <v>45628</v>
      </c>
      <c r="F7" s="4">
        <v>45628</v>
      </c>
      <c r="G7" s="3">
        <v>0.48622769819910916</v>
      </c>
      <c r="H7" s="3">
        <v>0.15350147440561807</v>
      </c>
      <c r="I7" s="3">
        <v>0.39696726181470293</v>
      </c>
      <c r="J7" s="3">
        <v>4.2865438304187384E-3</v>
      </c>
      <c r="K7">
        <v>3871</v>
      </c>
      <c r="L7">
        <f t="shared" si="0"/>
        <v>8.2612681505776475</v>
      </c>
    </row>
    <row r="8" spans="1:12" x14ac:dyDescent="0.2">
      <c r="A8" t="s">
        <v>16</v>
      </c>
      <c r="B8" t="s">
        <v>31</v>
      </c>
      <c r="C8" t="s">
        <v>44</v>
      </c>
      <c r="D8" t="s">
        <v>13</v>
      </c>
      <c r="E8" s="4">
        <v>45775</v>
      </c>
      <c r="F8" s="4">
        <v>45775</v>
      </c>
      <c r="G8" s="3">
        <v>0.55694479958471566</v>
      </c>
      <c r="H8" s="3">
        <v>0.11175743092096395</v>
      </c>
      <c r="I8" s="3">
        <v>0.43490581589321459</v>
      </c>
      <c r="J8" s="3">
        <v>2.8218669012584109E-3</v>
      </c>
      <c r="K8">
        <v>10500</v>
      </c>
      <c r="L8">
        <f t="shared" si="0"/>
        <v>9.259130536145614</v>
      </c>
    </row>
    <row r="9" spans="1:12" x14ac:dyDescent="0.2">
      <c r="A9" t="s">
        <v>22</v>
      </c>
      <c r="B9" t="s">
        <v>31</v>
      </c>
      <c r="C9" t="s">
        <v>44</v>
      </c>
      <c r="D9" t="s">
        <v>13</v>
      </c>
      <c r="E9" s="4">
        <v>46008</v>
      </c>
      <c r="F9" s="4">
        <v>46008</v>
      </c>
      <c r="G9" s="3">
        <v>0.88051384389230081</v>
      </c>
      <c r="H9" s="3">
        <v>6.0855570017495426E-2</v>
      </c>
      <c r="I9" s="3">
        <v>0.28328994221220649</v>
      </c>
      <c r="J9" s="3">
        <v>5.171524740617945E-2</v>
      </c>
      <c r="K9">
        <v>6019</v>
      </c>
      <c r="L9">
        <f t="shared" si="0"/>
        <v>8.7026764115477704</v>
      </c>
    </row>
    <row r="10" spans="1:12" x14ac:dyDescent="0.2">
      <c r="A10" t="s">
        <v>10</v>
      </c>
      <c r="B10" t="s">
        <v>33</v>
      </c>
      <c r="C10" t="s">
        <v>44</v>
      </c>
      <c r="D10" t="s">
        <v>13</v>
      </c>
      <c r="E10" s="4">
        <v>46008</v>
      </c>
      <c r="F10" s="4">
        <v>46008</v>
      </c>
      <c r="G10" s="3">
        <v>5.2095533852173012E-3</v>
      </c>
      <c r="H10" s="3">
        <v>1.9176578051418812E-3</v>
      </c>
      <c r="I10" s="3">
        <v>6.2020726119988313E-3</v>
      </c>
      <c r="J10" s="3">
        <v>8.4097817736968998E-3</v>
      </c>
      <c r="K10">
        <v>4251.5</v>
      </c>
      <c r="L10">
        <f t="shared" si="0"/>
        <v>8.3550271408258467</v>
      </c>
    </row>
    <row r="11" spans="1:12" x14ac:dyDescent="0.2">
      <c r="A11" t="s">
        <v>16</v>
      </c>
      <c r="B11" t="s">
        <v>31</v>
      </c>
      <c r="C11" t="s">
        <v>44</v>
      </c>
      <c r="D11" t="s">
        <v>13</v>
      </c>
      <c r="E11" s="4">
        <v>46008</v>
      </c>
      <c r="F11" s="4">
        <v>46008</v>
      </c>
      <c r="G11" s="3">
        <v>0.95058759115967373</v>
      </c>
      <c r="H11" s="3">
        <v>6.1484046977853342E-4</v>
      </c>
      <c r="I11" s="3">
        <v>0.23695674309323345</v>
      </c>
      <c r="J11" s="3">
        <v>4.0835870170821069E-2</v>
      </c>
      <c r="K11">
        <v>4254.5</v>
      </c>
      <c r="L11">
        <f t="shared" si="0"/>
        <v>8.3557325252896124</v>
      </c>
    </row>
    <row r="12" spans="1:12" x14ac:dyDescent="0.2">
      <c r="A12" t="s">
        <v>5</v>
      </c>
      <c r="B12" t="s">
        <v>34</v>
      </c>
      <c r="C12" t="s">
        <v>45</v>
      </c>
      <c r="D12" t="s">
        <v>13</v>
      </c>
      <c r="E12" s="4">
        <v>46010</v>
      </c>
      <c r="F12" s="4">
        <v>46010</v>
      </c>
      <c r="G12" s="3">
        <v>0.61187867234326676</v>
      </c>
      <c r="H12" s="3">
        <v>0.1061506169767918</v>
      </c>
      <c r="I12" s="3">
        <v>4.3305132702653494E-3</v>
      </c>
      <c r="J12" s="3">
        <v>6.0699403711804356E-3</v>
      </c>
      <c r="K12">
        <v>1286</v>
      </c>
      <c r="L12">
        <f t="shared" si="0"/>
        <v>7.1592919047975645</v>
      </c>
    </row>
    <row r="13" spans="1:12" x14ac:dyDescent="0.2">
      <c r="A13" t="s">
        <v>6</v>
      </c>
      <c r="B13" t="s">
        <v>32</v>
      </c>
      <c r="C13" t="s">
        <v>45</v>
      </c>
      <c r="D13" t="s">
        <v>13</v>
      </c>
      <c r="E13" s="4">
        <v>46010</v>
      </c>
      <c r="F13" s="4">
        <v>46010</v>
      </c>
      <c r="G13" s="3">
        <v>0.96850350616421266</v>
      </c>
      <c r="H13" s="3">
        <v>1.6316895860012035E-2</v>
      </c>
      <c r="I13" s="3">
        <v>0.1879840062904527</v>
      </c>
      <c r="J13" s="3">
        <v>3.0004540586923468E-2</v>
      </c>
      <c r="K13">
        <v>1407.5000000000002</v>
      </c>
      <c r="L13">
        <f t="shared" si="0"/>
        <v>7.2495703600138457</v>
      </c>
    </row>
    <row r="14" spans="1:12" x14ac:dyDescent="0.2">
      <c r="A14" t="s">
        <v>15</v>
      </c>
      <c r="B14" t="s">
        <v>34</v>
      </c>
      <c r="C14" t="s">
        <v>44</v>
      </c>
      <c r="D14" t="s">
        <v>13</v>
      </c>
      <c r="E14" s="4">
        <v>46010</v>
      </c>
      <c r="F14" s="4">
        <v>46010</v>
      </c>
      <c r="G14" s="3">
        <v>0.99292490705234271</v>
      </c>
      <c r="H14" s="3">
        <v>1.0005692401627179E-2</v>
      </c>
      <c r="I14" s="3">
        <v>-5.6540525083878957E-4</v>
      </c>
      <c r="J14" s="3">
        <v>7.8354921439885757E-3</v>
      </c>
      <c r="K14">
        <v>1203</v>
      </c>
      <c r="L14">
        <f t="shared" si="0"/>
        <v>7.0925737159746784</v>
      </c>
    </row>
    <row r="15" spans="1:12" x14ac:dyDescent="0.2">
      <c r="A15" t="s">
        <v>10</v>
      </c>
      <c r="B15" t="s">
        <v>33</v>
      </c>
      <c r="C15" t="s">
        <v>44</v>
      </c>
      <c r="D15" t="s">
        <v>13</v>
      </c>
      <c r="E15" s="4">
        <v>46010</v>
      </c>
      <c r="F15" s="4">
        <v>46010</v>
      </c>
      <c r="G15" s="3">
        <v>7.7244688732806353E-3</v>
      </c>
      <c r="H15" s="3">
        <v>2.3454488413764008E-3</v>
      </c>
      <c r="I15" s="3">
        <v>1.1471545268050458E-3</v>
      </c>
      <c r="J15" s="3">
        <v>8.7280036907512529E-3</v>
      </c>
      <c r="K15">
        <v>6783.5</v>
      </c>
      <c r="L15">
        <f t="shared" si="0"/>
        <v>8.8222484719253629</v>
      </c>
    </row>
    <row r="16" spans="1:12" x14ac:dyDescent="0.2">
      <c r="A16" t="s">
        <v>5</v>
      </c>
      <c r="B16" t="s">
        <v>34</v>
      </c>
      <c r="C16" t="s">
        <v>45</v>
      </c>
      <c r="D16" t="s">
        <v>13</v>
      </c>
      <c r="E16" s="4">
        <v>45664</v>
      </c>
      <c r="F16" s="4">
        <v>45664</v>
      </c>
      <c r="G16" s="3">
        <v>0.65712411301057072</v>
      </c>
      <c r="H16" s="3">
        <v>7.1600736213729962E-2</v>
      </c>
      <c r="I16" s="3">
        <v>5.273056212426655E-2</v>
      </c>
      <c r="J16" s="3">
        <v>9.2116890807966909E-3</v>
      </c>
      <c r="K16" s="10">
        <v>907.25</v>
      </c>
      <c r="L16">
        <f t="shared" si="0"/>
        <v>6.8104180460931794</v>
      </c>
    </row>
    <row r="17" spans="1:12" x14ac:dyDescent="0.2">
      <c r="A17" t="s">
        <v>10</v>
      </c>
      <c r="B17" t="s">
        <v>33</v>
      </c>
      <c r="C17" t="s">
        <v>44</v>
      </c>
      <c r="D17" t="s">
        <v>13</v>
      </c>
      <c r="E17" s="4">
        <v>45664</v>
      </c>
      <c r="F17" s="4">
        <v>45664</v>
      </c>
      <c r="G17" s="3">
        <v>1.9248768802244097E-3</v>
      </c>
      <c r="H17" s="3">
        <v>8.0893301601355991E-4</v>
      </c>
      <c r="I17" s="3">
        <v>-2.2377049235950044E-3</v>
      </c>
      <c r="J17" s="3">
        <v>1.1649613426209318E-3</v>
      </c>
      <c r="K17" s="10">
        <v>4449.9999999999991</v>
      </c>
      <c r="L17">
        <f t="shared" si="0"/>
        <v>8.400659375160286</v>
      </c>
    </row>
    <row r="18" spans="1:12" x14ac:dyDescent="0.2">
      <c r="A18" t="s">
        <v>16</v>
      </c>
      <c r="B18" t="s">
        <v>31</v>
      </c>
      <c r="C18" t="s">
        <v>44</v>
      </c>
      <c r="D18" t="s">
        <v>13</v>
      </c>
      <c r="E18" s="4">
        <v>45664</v>
      </c>
      <c r="F18" s="4">
        <v>45664</v>
      </c>
      <c r="G18" s="3">
        <v>0.88044551200228982</v>
      </c>
      <c r="H18" s="3">
        <v>7.7759482517588643E-2</v>
      </c>
      <c r="I18" s="3">
        <v>2.8916575542519574E-2</v>
      </c>
      <c r="J18" s="3">
        <v>2.5705333060305445E-2</v>
      </c>
      <c r="K18" s="10">
        <v>2292.5</v>
      </c>
      <c r="L18">
        <f t="shared" si="0"/>
        <v>7.7373982041306197</v>
      </c>
    </row>
    <row r="19" spans="1:12" x14ac:dyDescent="0.2">
      <c r="A19" t="s">
        <v>6</v>
      </c>
      <c r="B19" t="s">
        <v>32</v>
      </c>
      <c r="C19" t="s">
        <v>45</v>
      </c>
      <c r="D19" t="s">
        <v>13</v>
      </c>
      <c r="E19" s="4">
        <v>45666</v>
      </c>
      <c r="F19" s="4">
        <v>45666</v>
      </c>
      <c r="G19" s="3">
        <v>0.99032925619739509</v>
      </c>
      <c r="H19" s="3">
        <v>1.0576831763430384E-4</v>
      </c>
      <c r="I19" s="3">
        <v>0.24925807115346393</v>
      </c>
      <c r="J19" s="3">
        <v>0.19856964980437644</v>
      </c>
      <c r="K19">
        <v>1855</v>
      </c>
      <c r="L19">
        <f t="shared" si="0"/>
        <v>7.5256399750415355</v>
      </c>
    </row>
    <row r="20" spans="1:12" x14ac:dyDescent="0.2">
      <c r="A20" t="s">
        <v>5</v>
      </c>
      <c r="B20" t="s">
        <v>34</v>
      </c>
      <c r="C20" t="s">
        <v>45</v>
      </c>
      <c r="D20" t="s">
        <v>13</v>
      </c>
      <c r="E20" s="4">
        <v>45666</v>
      </c>
      <c r="F20" s="4">
        <v>45666</v>
      </c>
      <c r="G20" s="3">
        <v>0.69315833042046693</v>
      </c>
      <c r="H20" s="3">
        <v>2.4846629737473234E-2</v>
      </c>
      <c r="I20" s="3">
        <v>2.4823615226881861E-2</v>
      </c>
      <c r="J20" s="3">
        <v>2.1831250748749167E-2</v>
      </c>
      <c r="K20">
        <v>4360.5</v>
      </c>
      <c r="L20">
        <f t="shared" si="0"/>
        <v>8.380342008667041</v>
      </c>
    </row>
    <row r="21" spans="1:12" x14ac:dyDescent="0.2">
      <c r="A21" t="s">
        <v>10</v>
      </c>
      <c r="B21" t="s">
        <v>33</v>
      </c>
      <c r="C21" t="s">
        <v>44</v>
      </c>
      <c r="D21" t="s">
        <v>13</v>
      </c>
      <c r="E21" s="4">
        <v>45666</v>
      </c>
      <c r="F21" s="4">
        <v>45666</v>
      </c>
      <c r="G21" s="1">
        <v>9.5632279722023088E-3</v>
      </c>
      <c r="H21" s="1">
        <v>1.0929544452293659E-3</v>
      </c>
      <c r="I21" s="1">
        <v>0</v>
      </c>
      <c r="J21" s="1">
        <v>0</v>
      </c>
      <c r="K21">
        <v>8138.5000000000009</v>
      </c>
      <c r="L21">
        <f t="shared" si="0"/>
        <v>9.0043611668315524</v>
      </c>
    </row>
    <row r="22" spans="1:12" x14ac:dyDescent="0.2">
      <c r="A22" t="s">
        <v>23</v>
      </c>
      <c r="B22" t="s">
        <v>31</v>
      </c>
      <c r="C22" t="s">
        <v>44</v>
      </c>
      <c r="D22" t="s">
        <v>13</v>
      </c>
      <c r="E22" s="4">
        <v>45666</v>
      </c>
      <c r="F22" s="4">
        <v>45666</v>
      </c>
      <c r="G22" s="1">
        <v>0.67057530939295551</v>
      </c>
      <c r="H22" s="1">
        <v>0.3106323689163874</v>
      </c>
      <c r="I22" s="1">
        <v>0.40957383471443765</v>
      </c>
      <c r="J22" s="1">
        <v>2.5169758318076836E-2</v>
      </c>
      <c r="K22">
        <v>1953</v>
      </c>
      <c r="L22">
        <f t="shared" si="0"/>
        <v>7.5771219308766788</v>
      </c>
    </row>
    <row r="23" spans="1:12" x14ac:dyDescent="0.2">
      <c r="A23" t="s">
        <v>22</v>
      </c>
      <c r="B23" t="s">
        <v>31</v>
      </c>
      <c r="C23" t="s">
        <v>44</v>
      </c>
      <c r="D23" t="s">
        <v>13</v>
      </c>
      <c r="E23" s="4">
        <v>45666</v>
      </c>
      <c r="F23" s="4">
        <v>45666</v>
      </c>
      <c r="G23" s="1">
        <v>0.69549416773738448</v>
      </c>
      <c r="H23" s="1">
        <v>2.4574957918193141E-2</v>
      </c>
      <c r="I23" s="1">
        <v>0.45008110844134919</v>
      </c>
      <c r="J23" s="1">
        <v>0.10153973145255303</v>
      </c>
      <c r="K23">
        <v>3959</v>
      </c>
      <c r="L23">
        <f t="shared" si="0"/>
        <v>8.2837467471061306</v>
      </c>
    </row>
    <row r="24" spans="1:12" x14ac:dyDescent="0.2">
      <c r="A24" t="s">
        <v>24</v>
      </c>
      <c r="B24" t="s">
        <v>31</v>
      </c>
      <c r="C24" t="s">
        <v>44</v>
      </c>
      <c r="D24" t="s">
        <v>13</v>
      </c>
      <c r="E24" s="4">
        <v>45666</v>
      </c>
      <c r="F24" s="4">
        <v>45666</v>
      </c>
      <c r="G24" s="1">
        <v>0.7572912906431073</v>
      </c>
      <c r="H24" s="1">
        <v>0.10256444248105535</v>
      </c>
      <c r="I24" s="1">
        <v>0.77700017661603671</v>
      </c>
      <c r="J24" s="1">
        <v>5.7957695520250194E-2</v>
      </c>
      <c r="K24">
        <v>903</v>
      </c>
      <c r="L24">
        <f t="shared" si="0"/>
        <v>6.8057225534169854</v>
      </c>
    </row>
    <row r="25" spans="1:12" x14ac:dyDescent="0.2">
      <c r="A25" t="s">
        <v>25</v>
      </c>
      <c r="B25" t="s">
        <v>35</v>
      </c>
      <c r="C25" t="s">
        <v>45</v>
      </c>
      <c r="D25" t="s">
        <v>13</v>
      </c>
      <c r="E25" s="4">
        <v>45666</v>
      </c>
      <c r="F25" s="4">
        <v>45666</v>
      </c>
      <c r="G25" s="3">
        <v>0.65151810965087786</v>
      </c>
      <c r="H25" s="3">
        <v>0.38331785863186807</v>
      </c>
      <c r="I25" s="3">
        <v>0.71662622182685187</v>
      </c>
      <c r="J25" s="3">
        <v>9.1949597713804884E-2</v>
      </c>
      <c r="K25">
        <v>1556</v>
      </c>
      <c r="L25">
        <f t="shared" si="0"/>
        <v>7.3498737047383367</v>
      </c>
    </row>
    <row r="26" spans="1:12" x14ac:dyDescent="0.2">
      <c r="A26" t="s">
        <v>25</v>
      </c>
      <c r="B26" t="s">
        <v>35</v>
      </c>
      <c r="C26" t="s">
        <v>45</v>
      </c>
      <c r="D26" t="s">
        <v>13</v>
      </c>
      <c r="E26" s="4">
        <v>45669</v>
      </c>
      <c r="F26" s="4">
        <v>45669</v>
      </c>
      <c r="G26" s="3">
        <v>0.87612087943188244</v>
      </c>
      <c r="H26" s="3">
        <v>3.563397715386829E-2</v>
      </c>
      <c r="I26" s="3">
        <v>0.86143538317874613</v>
      </c>
      <c r="J26" s="3">
        <v>3.5083001570757756E-2</v>
      </c>
      <c r="K26">
        <v>2044</v>
      </c>
      <c r="L26">
        <f t="shared" si="0"/>
        <v>7.6226639513235952</v>
      </c>
    </row>
    <row r="27" spans="1:12" x14ac:dyDescent="0.2">
      <c r="A27" t="s">
        <v>15</v>
      </c>
      <c r="B27" t="s">
        <v>34</v>
      </c>
      <c r="C27" t="s">
        <v>44</v>
      </c>
      <c r="D27" t="s">
        <v>13</v>
      </c>
      <c r="E27" s="4">
        <v>45669</v>
      </c>
      <c r="F27" s="4">
        <v>45669</v>
      </c>
      <c r="G27" s="3">
        <v>0.92389852542132189</v>
      </c>
      <c r="H27" s="3">
        <v>1.508908013871026E-2</v>
      </c>
      <c r="I27" s="3">
        <v>-2.8320164701678145E-3</v>
      </c>
      <c r="J27" s="3">
        <v>2.6033984895531782E-3</v>
      </c>
      <c r="K27">
        <v>1065</v>
      </c>
      <c r="L27">
        <f t="shared" si="0"/>
        <v>6.9707300781435251</v>
      </c>
    </row>
    <row r="28" spans="1:12" x14ac:dyDescent="0.2">
      <c r="A28" t="s">
        <v>27</v>
      </c>
      <c r="B28" t="s">
        <v>31</v>
      </c>
      <c r="C28" t="s">
        <v>44</v>
      </c>
      <c r="D28" t="s">
        <v>13</v>
      </c>
      <c r="E28" s="4">
        <v>45669</v>
      </c>
      <c r="F28" s="4">
        <v>45669</v>
      </c>
      <c r="G28" s="3">
        <v>0.94891969396074027</v>
      </c>
      <c r="H28" s="3">
        <v>1.7203326997382456E-2</v>
      </c>
      <c r="I28" s="3">
        <v>2.6395164107404639E-3</v>
      </c>
      <c r="J28" s="3">
        <v>9.1683690199309987E-3</v>
      </c>
      <c r="K28">
        <v>3750</v>
      </c>
      <c r="L28">
        <f t="shared" si="0"/>
        <v>8.2295111189644565</v>
      </c>
    </row>
    <row r="29" spans="1:12" x14ac:dyDescent="0.2">
      <c r="A29" t="s">
        <v>24</v>
      </c>
      <c r="B29" t="s">
        <v>31</v>
      </c>
      <c r="C29" t="s">
        <v>44</v>
      </c>
      <c r="D29" t="s">
        <v>13</v>
      </c>
      <c r="E29" s="4">
        <v>45669</v>
      </c>
      <c r="F29" s="4">
        <v>45669</v>
      </c>
      <c r="G29" s="3">
        <v>0.8024335339854527</v>
      </c>
      <c r="H29" s="3">
        <v>2.0581826425055518E-3</v>
      </c>
      <c r="I29" s="3">
        <v>0.43146964109221841</v>
      </c>
      <c r="J29" s="3">
        <v>0.15984160084482707</v>
      </c>
      <c r="K29">
        <v>2229</v>
      </c>
      <c r="L29">
        <f t="shared" si="0"/>
        <v>7.7093083333858692</v>
      </c>
    </row>
    <row r="30" spans="1:12" x14ac:dyDescent="0.2">
      <c r="A30" t="s">
        <v>20</v>
      </c>
      <c r="B30" t="s">
        <v>31</v>
      </c>
      <c r="C30" t="s">
        <v>44</v>
      </c>
      <c r="D30" t="s">
        <v>13</v>
      </c>
      <c r="E30" s="4">
        <v>45669</v>
      </c>
      <c r="F30" s="4">
        <v>45669</v>
      </c>
      <c r="G30" s="3">
        <v>0.99405114792211569</v>
      </c>
      <c r="H30" s="3">
        <v>8.4129472890954425E-3</v>
      </c>
      <c r="I30" s="3">
        <v>0.93004646544433978</v>
      </c>
      <c r="J30" s="3">
        <v>1.2133833053947527E-2</v>
      </c>
      <c r="K30">
        <v>1194</v>
      </c>
      <c r="L30">
        <f t="shared" si="0"/>
        <v>7.0850642939525477</v>
      </c>
    </row>
    <row r="31" spans="1:12" x14ac:dyDescent="0.2">
      <c r="A31" t="s">
        <v>36</v>
      </c>
      <c r="B31" t="s">
        <v>37</v>
      </c>
      <c r="C31" t="s">
        <v>45</v>
      </c>
      <c r="D31" t="s">
        <v>13</v>
      </c>
      <c r="E31" s="4">
        <v>45669</v>
      </c>
      <c r="F31" s="4">
        <v>45669</v>
      </c>
      <c r="G31" s="3">
        <v>0.98721545611752104</v>
      </c>
      <c r="H31" s="3">
        <v>1.1622479172135962E-2</v>
      </c>
      <c r="I31" s="3">
        <v>0.3959213731785598</v>
      </c>
      <c r="J31" s="3">
        <v>0.46636516945810147</v>
      </c>
      <c r="K31">
        <v>1339.5000000000002</v>
      </c>
      <c r="L31">
        <f t="shared" si="0"/>
        <v>7.2000516889846633</v>
      </c>
    </row>
    <row r="32" spans="1:12" x14ac:dyDescent="0.2">
      <c r="A32" t="s">
        <v>7</v>
      </c>
      <c r="B32" t="s">
        <v>31</v>
      </c>
      <c r="C32" t="s">
        <v>44</v>
      </c>
      <c r="D32" t="s">
        <v>13</v>
      </c>
      <c r="E32" s="4">
        <v>45671</v>
      </c>
      <c r="F32" s="4">
        <v>45671</v>
      </c>
      <c r="G32" s="3">
        <v>0.72120687154308682</v>
      </c>
      <c r="H32" s="3">
        <v>9.3433671060501419E-2</v>
      </c>
      <c r="I32" s="3">
        <v>-2.2172949002217295E-3</v>
      </c>
      <c r="J32" s="3">
        <v>3.1357285196742684E-3</v>
      </c>
      <c r="K32" s="10">
        <v>1262</v>
      </c>
      <c r="L32">
        <f t="shared" si="0"/>
        <v>7.1404530431011581</v>
      </c>
    </row>
    <row r="33" spans="1:12" x14ac:dyDescent="0.2">
      <c r="A33" t="s">
        <v>15</v>
      </c>
      <c r="B33" t="s">
        <v>34</v>
      </c>
      <c r="C33" t="s">
        <v>44</v>
      </c>
      <c r="D33" t="s">
        <v>13</v>
      </c>
      <c r="E33" s="4">
        <v>45671</v>
      </c>
      <c r="F33" s="4">
        <v>45671</v>
      </c>
      <c r="G33" s="3">
        <v>0.98090966278426972</v>
      </c>
      <c r="H33" s="3">
        <v>1.3060292846361328E-2</v>
      </c>
      <c r="I33" s="3">
        <v>-6.0332655208401821E-5</v>
      </c>
      <c r="J33" s="3">
        <v>3.3006629236068713E-3</v>
      </c>
      <c r="K33" s="10">
        <v>5138.9999999999991</v>
      </c>
      <c r="L33">
        <f t="shared" si="0"/>
        <v>8.5446137869922296</v>
      </c>
    </row>
    <row r="34" spans="1:12" x14ac:dyDescent="0.2">
      <c r="A34" t="s">
        <v>25</v>
      </c>
      <c r="B34" t="s">
        <v>35</v>
      </c>
      <c r="C34" t="s">
        <v>45</v>
      </c>
      <c r="D34" t="s">
        <v>13</v>
      </c>
      <c r="E34" s="4">
        <v>45671</v>
      </c>
      <c r="F34" s="4">
        <v>45671</v>
      </c>
      <c r="G34" s="3">
        <v>0.82026440985863047</v>
      </c>
      <c r="H34" s="3">
        <v>3.9790964828566398E-3</v>
      </c>
      <c r="I34" s="3">
        <v>0.71583238051393372</v>
      </c>
      <c r="J34" s="3">
        <v>6.2357878381220165E-2</v>
      </c>
      <c r="K34" s="10">
        <v>1876.5</v>
      </c>
      <c r="L34">
        <f t="shared" si="0"/>
        <v>7.5371636185750752</v>
      </c>
    </row>
    <row r="35" spans="1:12" x14ac:dyDescent="0.2">
      <c r="A35" t="s">
        <v>24</v>
      </c>
      <c r="B35" t="s">
        <v>31</v>
      </c>
      <c r="C35" t="s">
        <v>44</v>
      </c>
      <c r="D35" t="s">
        <v>13</v>
      </c>
      <c r="E35" s="4">
        <v>45671</v>
      </c>
      <c r="F35" s="4">
        <v>45671</v>
      </c>
      <c r="G35" s="3">
        <v>0.83891601176591202</v>
      </c>
      <c r="H35" s="3">
        <v>5.8256994827295315E-2</v>
      </c>
      <c r="I35" s="3">
        <v>0.79092341733177773</v>
      </c>
      <c r="J35" s="3">
        <v>7.6224973812365385E-2</v>
      </c>
      <c r="K35" s="10">
        <v>3808</v>
      </c>
      <c r="L35">
        <f t="shared" si="0"/>
        <v>8.2448593959112557</v>
      </c>
    </row>
    <row r="36" spans="1:12" x14ac:dyDescent="0.2">
      <c r="A36" t="s">
        <v>20</v>
      </c>
      <c r="B36" t="s">
        <v>31</v>
      </c>
      <c r="C36" t="s">
        <v>44</v>
      </c>
      <c r="D36" t="s">
        <v>13</v>
      </c>
      <c r="E36" s="4">
        <v>45671</v>
      </c>
      <c r="F36" s="4">
        <v>45671</v>
      </c>
      <c r="G36" s="3">
        <v>0.99411193931107489</v>
      </c>
      <c r="H36" s="3">
        <v>8.3269752823538403E-3</v>
      </c>
      <c r="I36" s="3">
        <v>0.94161110646351587</v>
      </c>
      <c r="J36" s="3">
        <v>3.2624866685179679E-2</v>
      </c>
      <c r="K36" s="10">
        <v>1775</v>
      </c>
      <c r="L36">
        <f t="shared" si="0"/>
        <v>7.4815557019095165</v>
      </c>
    </row>
    <row r="37" spans="1:12" x14ac:dyDescent="0.2">
      <c r="A37" t="s">
        <v>23</v>
      </c>
      <c r="B37" t="s">
        <v>31</v>
      </c>
      <c r="C37" t="s">
        <v>44</v>
      </c>
      <c r="D37" t="s">
        <v>13</v>
      </c>
      <c r="E37" s="4">
        <v>45671</v>
      </c>
      <c r="F37" s="4">
        <v>45671</v>
      </c>
      <c r="G37" s="3">
        <v>0.96022611222756082</v>
      </c>
      <c r="H37" s="3">
        <v>5.9091670004797255E-3</v>
      </c>
      <c r="I37" s="3">
        <v>0.20814295407078739</v>
      </c>
      <c r="J37" s="3">
        <v>0.10469500006074575</v>
      </c>
      <c r="K37" s="10">
        <v>3144.5</v>
      </c>
      <c r="L37">
        <f t="shared" si="0"/>
        <v>8.0534101739835577</v>
      </c>
    </row>
    <row r="38" spans="1:12" x14ac:dyDescent="0.2">
      <c r="A38" t="s">
        <v>12</v>
      </c>
      <c r="B38" t="s">
        <v>38</v>
      </c>
      <c r="C38" t="s">
        <v>45</v>
      </c>
      <c r="D38" t="s">
        <v>13</v>
      </c>
      <c r="E38" s="4">
        <v>45671</v>
      </c>
      <c r="F38" s="4">
        <v>45671</v>
      </c>
      <c r="G38" s="3">
        <v>0.99472795704876293</v>
      </c>
      <c r="H38" s="3">
        <v>4.8922537027907772E-4</v>
      </c>
      <c r="I38" s="3">
        <v>0.31348441300266272</v>
      </c>
      <c r="J38" s="3">
        <v>5.2945848234006263E-2</v>
      </c>
      <c r="K38" s="10">
        <v>1668.0000000000002</v>
      </c>
      <c r="L38">
        <f t="shared" si="0"/>
        <v>7.4193805829186923</v>
      </c>
    </row>
    <row r="39" spans="1:12" x14ac:dyDescent="0.2">
      <c r="A39" t="s">
        <v>11</v>
      </c>
      <c r="B39" t="s">
        <v>38</v>
      </c>
      <c r="C39" t="s">
        <v>45</v>
      </c>
      <c r="D39" t="s">
        <v>13</v>
      </c>
      <c r="E39" s="4">
        <v>45671</v>
      </c>
      <c r="F39" s="4">
        <v>45671</v>
      </c>
      <c r="G39" s="3">
        <v>0.93027975147083297</v>
      </c>
      <c r="H39" s="3">
        <v>8.7187920289601636E-2</v>
      </c>
      <c r="I39" s="3">
        <v>0.62042974999758349</v>
      </c>
      <c r="J39" s="3">
        <v>0.13272931616647929</v>
      </c>
      <c r="K39" s="10">
        <v>2076.5</v>
      </c>
      <c r="L39">
        <f t="shared" si="0"/>
        <v>7.6384390630708081</v>
      </c>
    </row>
    <row r="40" spans="1:12" x14ac:dyDescent="0.2">
      <c r="A40" t="s">
        <v>36</v>
      </c>
      <c r="B40" t="s">
        <v>37</v>
      </c>
      <c r="C40" t="s">
        <v>45</v>
      </c>
      <c r="D40" t="s">
        <v>13</v>
      </c>
      <c r="E40" s="4">
        <v>45671</v>
      </c>
      <c r="F40" s="4">
        <v>45671</v>
      </c>
      <c r="G40" s="3">
        <v>0.97257292604033396</v>
      </c>
      <c r="H40" s="3">
        <v>3.8441814202467401E-3</v>
      </c>
      <c r="I40" s="3">
        <v>0.42033427542255497</v>
      </c>
      <c r="J40" s="3">
        <v>0.17226134645821678</v>
      </c>
      <c r="K40" s="10">
        <v>1984.9999999999998</v>
      </c>
      <c r="L40">
        <f t="shared" si="0"/>
        <v>7.5933741931212904</v>
      </c>
    </row>
    <row r="41" spans="1:12" x14ac:dyDescent="0.2">
      <c r="A41" t="s">
        <v>14</v>
      </c>
      <c r="B41" t="s">
        <v>31</v>
      </c>
      <c r="C41" t="s">
        <v>44</v>
      </c>
      <c r="D41" t="s">
        <v>13</v>
      </c>
      <c r="E41" s="4">
        <v>45671</v>
      </c>
      <c r="F41" s="4">
        <v>45671</v>
      </c>
      <c r="G41" s="3">
        <v>0.98431386418681932</v>
      </c>
      <c r="H41" s="3">
        <v>1.4241525687488912E-3</v>
      </c>
      <c r="I41" s="3">
        <v>0.98951359001671846</v>
      </c>
      <c r="J41" s="3">
        <v>8.427043055694068E-4</v>
      </c>
      <c r="K41" s="10">
        <v>8749.5</v>
      </c>
      <c r="L41">
        <f t="shared" si="0"/>
        <v>9.0767518348618026</v>
      </c>
    </row>
    <row r="42" spans="1:12" x14ac:dyDescent="0.2">
      <c r="A42" t="s">
        <v>9</v>
      </c>
      <c r="B42" t="s">
        <v>39</v>
      </c>
      <c r="C42" t="s">
        <v>45</v>
      </c>
      <c r="D42" t="s">
        <v>13</v>
      </c>
      <c r="E42" s="4">
        <v>45671</v>
      </c>
      <c r="F42" s="4">
        <v>45671</v>
      </c>
      <c r="G42" s="3">
        <v>0.99059187908936797</v>
      </c>
      <c r="H42" s="3">
        <v>7.9346609387435461E-3</v>
      </c>
      <c r="I42" s="3">
        <v>2.8490028490028491E-3</v>
      </c>
      <c r="J42" s="3">
        <v>4.0290984682994158E-3</v>
      </c>
      <c r="K42" s="10">
        <v>1626.5</v>
      </c>
      <c r="L42">
        <f t="shared" si="0"/>
        <v>7.3941857459134059</v>
      </c>
    </row>
    <row r="43" spans="1:12" x14ac:dyDescent="0.2">
      <c r="A43" t="s">
        <v>8</v>
      </c>
      <c r="B43" t="s">
        <v>39</v>
      </c>
      <c r="C43" t="s">
        <v>45</v>
      </c>
      <c r="D43" t="s">
        <v>13</v>
      </c>
      <c r="E43" s="4">
        <v>45671</v>
      </c>
      <c r="F43" s="4">
        <v>45671</v>
      </c>
      <c r="G43" s="3">
        <v>0.78261779747755722</v>
      </c>
      <c r="H43" s="3">
        <v>2.1233093981487282E-2</v>
      </c>
      <c r="I43" s="3">
        <v>-5.1131783621271871E-3</v>
      </c>
      <c r="J43" s="3">
        <v>5.2377138973753326E-5</v>
      </c>
      <c r="K43" s="10">
        <v>1170.5</v>
      </c>
      <c r="L43">
        <f t="shared" si="0"/>
        <v>7.0651862869309658</v>
      </c>
    </row>
    <row r="44" spans="1:12" x14ac:dyDescent="0.2">
      <c r="A44" t="s">
        <v>26</v>
      </c>
      <c r="B44" t="s">
        <v>31</v>
      </c>
      <c r="C44" t="s">
        <v>44</v>
      </c>
      <c r="D44" t="s">
        <v>13</v>
      </c>
      <c r="E44" s="4">
        <v>45671</v>
      </c>
      <c r="F44" s="4">
        <v>45671</v>
      </c>
      <c r="G44" s="3">
        <v>0.89065620150912483</v>
      </c>
      <c r="H44" s="3">
        <v>1.7626287089300533E-2</v>
      </c>
      <c r="I44" s="3">
        <v>0.34667026165171433</v>
      </c>
      <c r="J44" s="3">
        <v>0.16731190649208069</v>
      </c>
      <c r="K44" s="10">
        <v>914.5</v>
      </c>
      <c r="L44">
        <f t="shared" si="0"/>
        <v>6.8183774678309206</v>
      </c>
    </row>
    <row r="45" spans="1:12" x14ac:dyDescent="0.2">
      <c r="A45" t="s">
        <v>14</v>
      </c>
      <c r="B45" t="s">
        <v>31</v>
      </c>
      <c r="C45" t="s">
        <v>44</v>
      </c>
      <c r="D45" t="s">
        <v>13</v>
      </c>
      <c r="E45" s="4">
        <v>46037</v>
      </c>
      <c r="F45" s="4">
        <v>46037</v>
      </c>
      <c r="G45" s="3">
        <v>0.99572489737328118</v>
      </c>
      <c r="H45" s="3">
        <v>1.1554009800939047E-3</v>
      </c>
      <c r="I45" s="3">
        <v>0.9824075505133204</v>
      </c>
      <c r="J45" s="3">
        <v>2.458498378619747E-4</v>
      </c>
      <c r="K45" s="10">
        <v>19673.5</v>
      </c>
      <c r="L45">
        <f t="shared" si="0"/>
        <v>9.8870278314974431</v>
      </c>
    </row>
    <row r="46" spans="1:12" x14ac:dyDescent="0.2">
      <c r="A46" t="s">
        <v>9</v>
      </c>
      <c r="B46" t="s">
        <v>39</v>
      </c>
      <c r="C46" t="s">
        <v>45</v>
      </c>
      <c r="D46" t="s">
        <v>13</v>
      </c>
      <c r="E46" s="4">
        <v>46037</v>
      </c>
      <c r="F46" s="4">
        <v>46037</v>
      </c>
      <c r="G46" s="3">
        <v>0.9877595085401274</v>
      </c>
      <c r="H46" s="3">
        <v>2.2858237484875876E-3</v>
      </c>
      <c r="I46" s="3">
        <v>3.526120693647712E-3</v>
      </c>
      <c r="J46" s="3">
        <v>0</v>
      </c>
      <c r="K46" s="10">
        <v>2873.5</v>
      </c>
      <c r="L46">
        <f t="shared" si="0"/>
        <v>7.9632860779477959</v>
      </c>
    </row>
    <row r="47" spans="1:12" x14ac:dyDescent="0.2">
      <c r="A47" t="s">
        <v>8</v>
      </c>
      <c r="B47" t="s">
        <v>39</v>
      </c>
      <c r="C47" t="s">
        <v>45</v>
      </c>
      <c r="D47" t="s">
        <v>13</v>
      </c>
      <c r="E47" s="4">
        <v>46037</v>
      </c>
      <c r="F47" s="4">
        <v>46037</v>
      </c>
      <c r="G47" s="3">
        <v>0.53169153844007822</v>
      </c>
      <c r="H47" s="3">
        <v>8.5550560916048068E-2</v>
      </c>
      <c r="I47" s="3">
        <v>0</v>
      </c>
      <c r="J47" s="3">
        <v>0</v>
      </c>
      <c r="K47" s="10">
        <v>2132.5000000000005</v>
      </c>
      <c r="L47">
        <f t="shared" si="0"/>
        <v>7.6650502793658344</v>
      </c>
    </row>
    <row r="48" spans="1:12" x14ac:dyDescent="0.2">
      <c r="A48" t="s">
        <v>12</v>
      </c>
      <c r="B48" t="s">
        <v>38</v>
      </c>
      <c r="C48" t="s">
        <v>45</v>
      </c>
      <c r="D48" t="s">
        <v>13</v>
      </c>
      <c r="E48" s="4">
        <v>46037</v>
      </c>
      <c r="F48" s="4">
        <v>46037</v>
      </c>
      <c r="G48" s="3">
        <v>0.9612724522773699</v>
      </c>
      <c r="H48" s="3">
        <v>2.601315575275882E-2</v>
      </c>
      <c r="I48" s="3">
        <v>0.42626424526229489</v>
      </c>
      <c r="J48" s="3">
        <v>1.0781806066376693E-3</v>
      </c>
      <c r="K48" s="10">
        <v>3639.0000000000005</v>
      </c>
      <c r="L48">
        <f t="shared" si="0"/>
        <v>8.1994641976121603</v>
      </c>
    </row>
    <row r="49" spans="1:12" x14ac:dyDescent="0.2">
      <c r="A49" t="s">
        <v>11</v>
      </c>
      <c r="B49" t="s">
        <v>38</v>
      </c>
      <c r="C49" t="s">
        <v>45</v>
      </c>
      <c r="D49" t="s">
        <v>13</v>
      </c>
      <c r="E49" s="4">
        <v>46037</v>
      </c>
      <c r="F49" s="4">
        <v>46037</v>
      </c>
      <c r="G49" s="3">
        <v>0.92207056880121807</v>
      </c>
      <c r="H49" s="3">
        <v>4.5200280850086649E-2</v>
      </c>
      <c r="I49" s="3">
        <v>0.75860148585623066</v>
      </c>
      <c r="J49" s="3">
        <v>8.534892202455284E-3</v>
      </c>
      <c r="K49" s="10">
        <v>3736.5000000000005</v>
      </c>
      <c r="L49">
        <f t="shared" si="0"/>
        <v>8.2259046233703454</v>
      </c>
    </row>
    <row r="50" spans="1:12" x14ac:dyDescent="0.2">
      <c r="A50" t="s">
        <v>36</v>
      </c>
      <c r="B50" t="s">
        <v>37</v>
      </c>
      <c r="C50" t="s">
        <v>45</v>
      </c>
      <c r="D50" t="s">
        <v>13</v>
      </c>
      <c r="E50" s="4">
        <v>46037</v>
      </c>
      <c r="F50" s="4">
        <v>46037</v>
      </c>
      <c r="G50" s="3">
        <v>0.96271991494273679</v>
      </c>
      <c r="H50" s="3">
        <v>2.2946927427850223E-2</v>
      </c>
      <c r="I50" s="3">
        <v>0.43584291389578217</v>
      </c>
      <c r="J50" s="3">
        <v>3.0810752992877911E-3</v>
      </c>
      <c r="K50" s="10">
        <v>1556</v>
      </c>
      <c r="L50">
        <f t="shared" si="0"/>
        <v>7.3498737047383367</v>
      </c>
    </row>
    <row r="51" spans="1:12" x14ac:dyDescent="0.2">
      <c r="A51" t="s">
        <v>26</v>
      </c>
      <c r="B51" t="s">
        <v>31</v>
      </c>
      <c r="C51" t="s">
        <v>44</v>
      </c>
      <c r="D51" t="s">
        <v>13</v>
      </c>
      <c r="E51" s="4">
        <v>46037</v>
      </c>
      <c r="F51" s="4">
        <v>46037</v>
      </c>
      <c r="G51" s="3">
        <v>0.94409126889866202</v>
      </c>
      <c r="H51" s="3">
        <v>2.4559282712588487E-3</v>
      </c>
      <c r="I51" s="3">
        <v>0.32618171535073226</v>
      </c>
      <c r="J51" s="3">
        <v>0.1428159993819621</v>
      </c>
      <c r="K51" s="10">
        <v>2288.5</v>
      </c>
      <c r="L51">
        <f t="shared" si="0"/>
        <v>7.7356518600936965</v>
      </c>
    </row>
    <row r="52" spans="1:12" x14ac:dyDescent="0.2">
      <c r="A52" t="s">
        <v>27</v>
      </c>
      <c r="B52" t="s">
        <v>31</v>
      </c>
      <c r="C52" t="s">
        <v>44</v>
      </c>
      <c r="D52" t="s">
        <v>13</v>
      </c>
      <c r="E52" s="4">
        <v>46037</v>
      </c>
      <c r="F52" s="4">
        <v>46037</v>
      </c>
      <c r="G52" s="3">
        <v>0.94999975401448356</v>
      </c>
      <c r="H52" s="3">
        <v>1.9058389585615239E-2</v>
      </c>
      <c r="I52" s="3">
        <v>-1.7175832320716379E-2</v>
      </c>
      <c r="J52" s="3">
        <v>1.7647924013789937E-2</v>
      </c>
      <c r="K52" s="10">
        <v>1024</v>
      </c>
      <c r="L52">
        <f t="shared" si="0"/>
        <v>6.9314718055994531</v>
      </c>
    </row>
    <row r="53" spans="1:12" x14ac:dyDescent="0.2">
      <c r="A53" t="s">
        <v>7</v>
      </c>
      <c r="B53" t="s">
        <v>31</v>
      </c>
      <c r="C53" t="s">
        <v>44</v>
      </c>
      <c r="D53" t="s">
        <v>13</v>
      </c>
      <c r="E53" s="4">
        <v>46037</v>
      </c>
      <c r="F53" s="4">
        <v>46037</v>
      </c>
      <c r="G53" s="3">
        <v>0.88989158166770543</v>
      </c>
      <c r="H53" s="3">
        <v>3.5625172555996065E-2</v>
      </c>
      <c r="I53" s="3">
        <v>2.6019080659150048E-3</v>
      </c>
      <c r="J53" s="3">
        <v>1.1891770879064898E-4</v>
      </c>
      <c r="K53" s="10">
        <v>2179.5</v>
      </c>
      <c r="L53">
        <f t="shared" si="0"/>
        <v>7.6868507716784471</v>
      </c>
    </row>
    <row r="54" spans="1:12" x14ac:dyDescent="0.2">
      <c r="A54" t="s">
        <v>20</v>
      </c>
      <c r="B54" t="s">
        <v>31</v>
      </c>
      <c r="C54" t="s">
        <v>44</v>
      </c>
      <c r="D54" t="s">
        <v>13</v>
      </c>
      <c r="E54" s="4">
        <v>46037</v>
      </c>
      <c r="F54" s="4">
        <v>46037</v>
      </c>
      <c r="G54" s="3">
        <v>0.99285204345008626</v>
      </c>
      <c r="H54" s="3">
        <v>7.0332454780776058E-3</v>
      </c>
      <c r="I54" s="3">
        <v>0.70629665523525931</v>
      </c>
      <c r="J54" s="3">
        <v>3.5165616818856354E-2</v>
      </c>
      <c r="K54" s="10">
        <v>2110.0000000000005</v>
      </c>
      <c r="L54">
        <f t="shared" si="0"/>
        <v>7.6544432264701125</v>
      </c>
    </row>
    <row r="55" spans="1:12" x14ac:dyDescent="0.2">
      <c r="A55" t="s">
        <v>9</v>
      </c>
      <c r="B55" t="s">
        <v>39</v>
      </c>
      <c r="C55" t="s">
        <v>45</v>
      </c>
      <c r="D55" t="s">
        <v>13</v>
      </c>
      <c r="E55" s="4">
        <v>46038</v>
      </c>
      <c r="F55" s="4">
        <v>46038</v>
      </c>
      <c r="G55" s="3">
        <v>0.8753908410342921</v>
      </c>
      <c r="H55" s="3">
        <v>2.384888633517062E-2</v>
      </c>
      <c r="I55" s="3">
        <v>1.5231320928529119E-3</v>
      </c>
      <c r="J55" s="3">
        <v>1.0461503478607446E-3</v>
      </c>
      <c r="K55" s="10">
        <v>7385</v>
      </c>
      <c r="L55">
        <f t="shared" si="0"/>
        <v>8.9072061949654806</v>
      </c>
    </row>
    <row r="56" spans="1:12" x14ac:dyDescent="0.2">
      <c r="A56" t="s">
        <v>8</v>
      </c>
      <c r="B56" t="s">
        <v>39</v>
      </c>
      <c r="C56" t="s">
        <v>45</v>
      </c>
      <c r="D56" t="s">
        <v>13</v>
      </c>
      <c r="E56" s="4">
        <v>46038</v>
      </c>
      <c r="F56" s="4">
        <v>46038</v>
      </c>
      <c r="G56" s="3">
        <v>0.44182025809678849</v>
      </c>
      <c r="H56" s="3">
        <v>1.0366839031186211E-2</v>
      </c>
      <c r="I56" s="3">
        <v>-6.1224489795918364E-4</v>
      </c>
      <c r="J56" s="3">
        <v>8.6584503818760918E-4</v>
      </c>
      <c r="K56" s="10">
        <v>5059</v>
      </c>
      <c r="L56">
        <f t="shared" si="0"/>
        <v>8.5289241142919359</v>
      </c>
    </row>
    <row r="57" spans="1:12" x14ac:dyDescent="0.2">
      <c r="A57" t="s">
        <v>12</v>
      </c>
      <c r="B57" t="s">
        <v>38</v>
      </c>
      <c r="C57" t="s">
        <v>45</v>
      </c>
      <c r="D57" t="s">
        <v>13</v>
      </c>
      <c r="E57" s="4">
        <v>46038</v>
      </c>
      <c r="F57" s="4">
        <v>46038</v>
      </c>
      <c r="G57" s="3">
        <v>0.97369351162689988</v>
      </c>
      <c r="H57" s="3">
        <v>1.9498393520575644E-2</v>
      </c>
      <c r="I57" s="3">
        <v>0.46758573930095909</v>
      </c>
      <c r="J57" s="3">
        <v>6.4528290924420112E-2</v>
      </c>
      <c r="K57" s="10">
        <v>6136.5</v>
      </c>
      <c r="L57">
        <f t="shared" si="0"/>
        <v>8.7220098260375636</v>
      </c>
    </row>
    <row r="58" spans="1:12" x14ac:dyDescent="0.2">
      <c r="A58" t="s">
        <v>11</v>
      </c>
      <c r="B58" t="s">
        <v>38</v>
      </c>
      <c r="C58" t="s">
        <v>45</v>
      </c>
      <c r="D58" t="s">
        <v>13</v>
      </c>
      <c r="E58" s="4">
        <v>46038</v>
      </c>
      <c r="F58" s="4">
        <v>46038</v>
      </c>
      <c r="G58" s="3">
        <v>0.94787715580395859</v>
      </c>
      <c r="H58" s="3">
        <v>3.3637428500426426E-2</v>
      </c>
      <c r="I58" s="3">
        <v>0.65345326101392776</v>
      </c>
      <c r="J58" s="3">
        <v>0.11693456390238945</v>
      </c>
      <c r="K58" s="10">
        <v>5449.9999999999991</v>
      </c>
      <c r="L58">
        <f t="shared" si="0"/>
        <v>8.6033708876572899</v>
      </c>
    </row>
    <row r="59" spans="1:12" x14ac:dyDescent="0.2">
      <c r="A59" t="s">
        <v>26</v>
      </c>
      <c r="B59" t="s">
        <v>31</v>
      </c>
      <c r="C59" t="s">
        <v>44</v>
      </c>
      <c r="D59" t="s">
        <v>13</v>
      </c>
      <c r="E59" s="4">
        <v>46038</v>
      </c>
      <c r="F59" s="4">
        <v>46038</v>
      </c>
      <c r="G59" s="3">
        <v>0.95387505994104616</v>
      </c>
      <c r="H59" s="3">
        <v>9.4463327226875383E-3</v>
      </c>
      <c r="I59" s="3">
        <v>0.24018935335713368</v>
      </c>
      <c r="J59" s="3">
        <v>2.1018950714057545E-3</v>
      </c>
      <c r="K59" s="10">
        <v>3714.0000000000005</v>
      </c>
      <c r="L59">
        <f t="shared" si="0"/>
        <v>8.2198647419126516</v>
      </c>
    </row>
    <row r="60" spans="1:12" x14ac:dyDescent="0.2">
      <c r="A60" t="s">
        <v>7</v>
      </c>
      <c r="B60" t="s">
        <v>31</v>
      </c>
      <c r="C60" t="s">
        <v>44</v>
      </c>
      <c r="D60" t="s">
        <v>13</v>
      </c>
      <c r="E60" s="4">
        <v>46038</v>
      </c>
      <c r="F60" s="4">
        <v>46038</v>
      </c>
      <c r="G60" s="3">
        <v>0.89064451375604781</v>
      </c>
      <c r="H60" s="3">
        <v>2.0707971199957053E-2</v>
      </c>
      <c r="I60" s="3">
        <v>-4.784307471493501E-4</v>
      </c>
      <c r="J60" s="3">
        <v>6.7660325127490389E-4</v>
      </c>
      <c r="K60" s="10">
        <v>12468.499999999998</v>
      </c>
      <c r="L60">
        <f t="shared" si="0"/>
        <v>9.4309607427459543</v>
      </c>
    </row>
    <row r="61" spans="1:12" x14ac:dyDescent="0.2">
      <c r="A61" t="s">
        <v>40</v>
      </c>
      <c r="B61" t="s">
        <v>37</v>
      </c>
      <c r="C61" t="s">
        <v>45</v>
      </c>
      <c r="D61" t="s">
        <v>13</v>
      </c>
      <c r="E61" s="4">
        <v>46048</v>
      </c>
      <c r="F61" s="4">
        <v>46048</v>
      </c>
      <c r="G61" s="3">
        <v>0.9948761742100769</v>
      </c>
      <c r="H61" s="3">
        <v>7.2461839233463601E-3</v>
      </c>
      <c r="I61" s="3">
        <v>0.81578304306816563</v>
      </c>
      <c r="J61" s="3">
        <v>0.10576647099928417</v>
      </c>
      <c r="K61">
        <v>1165.5</v>
      </c>
      <c r="L61">
        <f>LN(K61)</f>
        <v>7.060905458475812</v>
      </c>
    </row>
    <row r="62" spans="1:12" x14ac:dyDescent="0.2">
      <c r="A62" t="s">
        <v>40</v>
      </c>
      <c r="B62" t="s">
        <v>37</v>
      </c>
      <c r="C62" t="s">
        <v>45</v>
      </c>
      <c r="D62" t="s">
        <v>13</v>
      </c>
      <c r="E62" s="4">
        <v>46055</v>
      </c>
      <c r="F62" s="4">
        <v>46055</v>
      </c>
      <c r="G62" s="3">
        <v>0.99675324675324672</v>
      </c>
      <c r="H62" s="3">
        <v>4.5916024752372837E-3</v>
      </c>
      <c r="I62" s="3">
        <v>0.7071636936695278</v>
      </c>
      <c r="J62" s="3">
        <v>1.8730363369675939E-4</v>
      </c>
      <c r="K62">
        <v>1091.5</v>
      </c>
      <c r="L62">
        <f>LN(K62)</f>
        <v>6.9953081759899982</v>
      </c>
    </row>
    <row r="63" spans="1:12" x14ac:dyDescent="0.2">
      <c r="A63" t="s">
        <v>40</v>
      </c>
      <c r="B63" t="s">
        <v>37</v>
      </c>
      <c r="C63" t="s">
        <v>45</v>
      </c>
      <c r="D63" t="s">
        <v>13</v>
      </c>
      <c r="E63" s="4">
        <v>46058</v>
      </c>
      <c r="F63" s="4">
        <v>46058</v>
      </c>
      <c r="G63" s="3">
        <v>0.90459434417560036</v>
      </c>
      <c r="H63" s="3">
        <v>2.1173765722769744E-2</v>
      </c>
      <c r="I63" s="3">
        <v>0.34854762120053817</v>
      </c>
      <c r="J63" s="3">
        <v>1.5959420957311198E-2</v>
      </c>
      <c r="K63">
        <v>1359</v>
      </c>
      <c r="L63">
        <f>LN(K63)</f>
        <v>7.2145044141511434</v>
      </c>
    </row>
    <row r="64" spans="1:12" x14ac:dyDescent="0.2">
      <c r="A64" t="s">
        <v>47</v>
      </c>
      <c r="B64" t="s">
        <v>41</v>
      </c>
      <c r="C64" t="s">
        <v>45</v>
      </c>
      <c r="D64" t="s">
        <v>13</v>
      </c>
      <c r="E64" s="4">
        <v>46062</v>
      </c>
      <c r="F64" s="4">
        <v>46062</v>
      </c>
      <c r="G64" s="3">
        <v>6.939476704000214E-3</v>
      </c>
      <c r="H64" s="3">
        <v>9.813902070569246E-3</v>
      </c>
      <c r="I64" s="3">
        <v>0.79540723405375924</v>
      </c>
      <c r="J64" s="3">
        <v>0.10045474876448642</v>
      </c>
      <c r="K64">
        <v>1112.4999999999998</v>
      </c>
      <c r="L64">
        <f t="shared" ref="L64:L69" si="1">LN(K64)</f>
        <v>7.0143650140403953</v>
      </c>
    </row>
    <row r="65" spans="1:12" x14ac:dyDescent="0.2">
      <c r="A65" t="s">
        <v>47</v>
      </c>
      <c r="B65" t="s">
        <v>41</v>
      </c>
      <c r="C65" t="s">
        <v>45</v>
      </c>
      <c r="D65" t="s">
        <v>13</v>
      </c>
      <c r="E65" s="4">
        <v>46063</v>
      </c>
      <c r="F65" s="4">
        <v>46063</v>
      </c>
      <c r="G65" s="3">
        <v>1.8899427894605244E-2</v>
      </c>
      <c r="H65" s="3">
        <v>1.2108862258846176E-3</v>
      </c>
      <c r="I65" s="3">
        <v>0.92951163784333546</v>
      </c>
      <c r="J65" s="3">
        <v>3.9405246991524694E-2</v>
      </c>
      <c r="K65">
        <v>3860.9999999999995</v>
      </c>
      <c r="L65">
        <f t="shared" si="1"/>
        <v>8.2586814962642361</v>
      </c>
    </row>
    <row r="66" spans="1:12" x14ac:dyDescent="0.2">
      <c r="A66" t="s">
        <v>47</v>
      </c>
      <c r="B66" t="s">
        <v>41</v>
      </c>
      <c r="C66" t="s">
        <v>45</v>
      </c>
      <c r="D66" t="s">
        <v>13</v>
      </c>
      <c r="E66" s="4">
        <v>46064</v>
      </c>
      <c r="F66" s="4">
        <v>46064</v>
      </c>
      <c r="G66" s="3">
        <v>9.8245794202010909E-3</v>
      </c>
      <c r="H66" s="3">
        <v>2.1485087652128236E-3</v>
      </c>
      <c r="I66" s="3">
        <v>0.90010129331545741</v>
      </c>
      <c r="J66" s="3">
        <v>2.9337471373186114E-2</v>
      </c>
      <c r="K66">
        <v>6150</v>
      </c>
      <c r="L66">
        <f t="shared" si="1"/>
        <v>8.7242073608005644</v>
      </c>
    </row>
    <row r="67" spans="1:12" x14ac:dyDescent="0.2">
      <c r="A67" t="s">
        <v>46</v>
      </c>
      <c r="B67" t="s">
        <v>41</v>
      </c>
      <c r="C67" t="s">
        <v>45</v>
      </c>
      <c r="D67" t="s">
        <v>13</v>
      </c>
      <c r="E67" s="4">
        <v>46162</v>
      </c>
      <c r="F67" s="4">
        <v>46162</v>
      </c>
      <c r="G67" s="3">
        <v>6.8271953949988482E-3</v>
      </c>
      <c r="H67" s="3">
        <v>2.9562059724954313E-3</v>
      </c>
      <c r="I67" s="3">
        <v>0.23029267426318512</v>
      </c>
      <c r="J67" s="3">
        <v>1.9012297383589723E-2</v>
      </c>
      <c r="K67">
        <v>3629.5</v>
      </c>
      <c r="L67">
        <f t="shared" si="1"/>
        <v>8.1968501767248956</v>
      </c>
    </row>
    <row r="68" spans="1:12" x14ac:dyDescent="0.2">
      <c r="A68" t="s">
        <v>46</v>
      </c>
      <c r="B68" t="s">
        <v>41</v>
      </c>
      <c r="C68" t="s">
        <v>45</v>
      </c>
      <c r="D68" t="s">
        <v>13</v>
      </c>
      <c r="E68" s="4">
        <v>46163</v>
      </c>
      <c r="F68" s="4">
        <v>46163</v>
      </c>
      <c r="G68" s="3">
        <v>5.6801208422955538E-2</v>
      </c>
      <c r="H68" s="3">
        <v>7.5388341196062818E-3</v>
      </c>
      <c r="I68" s="3">
        <v>0.26109884456314891</v>
      </c>
      <c r="J68" s="3">
        <v>5.4071247043184022E-2</v>
      </c>
      <c r="K68">
        <v>3773.5</v>
      </c>
      <c r="L68">
        <f t="shared" si="1"/>
        <v>8.2357582317249225</v>
      </c>
    </row>
    <row r="69" spans="1:12" x14ac:dyDescent="0.2">
      <c r="A69" t="s">
        <v>46</v>
      </c>
      <c r="B69" t="s">
        <v>41</v>
      </c>
      <c r="C69" t="s">
        <v>45</v>
      </c>
      <c r="D69" t="s">
        <v>13</v>
      </c>
      <c r="E69" s="4">
        <v>46169</v>
      </c>
      <c r="F69" s="4">
        <v>46169</v>
      </c>
      <c r="G69" s="3">
        <v>3.6774840688235548E-2</v>
      </c>
      <c r="H69" s="3">
        <v>3.1184702076913068E-2</v>
      </c>
      <c r="I69" s="3">
        <v>0.11811701950554877</v>
      </c>
      <c r="J69" s="3">
        <v>1.8458959421187457E-2</v>
      </c>
      <c r="K69">
        <v>1429.25</v>
      </c>
      <c r="L69">
        <f t="shared" si="1"/>
        <v>7.2649051101440802</v>
      </c>
    </row>
  </sheetData>
  <autoFilter ref="A1:L66" xr:uid="{D350FA7F-BC6A-F048-8F8F-5AAFD60336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E0B4-46AA-5543-A409-0F4EECDF63D9}">
  <dimension ref="A1:G45"/>
  <sheetViews>
    <sheetView workbookViewId="0">
      <selection activeCell="B26" sqref="B26"/>
    </sheetView>
  </sheetViews>
  <sheetFormatPr baseColWidth="10" defaultRowHeight="16" x14ac:dyDescent="0.2"/>
  <cols>
    <col min="1" max="1" width="18.33203125" bestFit="1" customWidth="1"/>
    <col min="2" max="2" width="22.6640625" bestFit="1" customWidth="1"/>
    <col min="3" max="3" width="10.6640625" bestFit="1" customWidth="1"/>
    <col min="4" max="4" width="14.83203125" bestFit="1" customWidth="1"/>
    <col min="5" max="5" width="7.5" bestFit="1" customWidth="1"/>
    <col min="6" max="6" width="8.5" bestFit="1" customWidth="1"/>
    <col min="7" max="7" width="8.6640625" bestFit="1" customWidth="1"/>
  </cols>
  <sheetData>
    <row r="1" spans="1:7" x14ac:dyDescent="0.2">
      <c r="A1" t="s">
        <v>0</v>
      </c>
      <c r="B1" t="s">
        <v>1</v>
      </c>
      <c r="C1" s="4" t="s">
        <v>28</v>
      </c>
      <c r="D1" t="s">
        <v>42</v>
      </c>
      <c r="E1" t="s">
        <v>30</v>
      </c>
      <c r="F1" t="s">
        <v>21</v>
      </c>
      <c r="G1" t="s">
        <v>3</v>
      </c>
    </row>
    <row r="2" spans="1:7" x14ac:dyDescent="0.2">
      <c r="A2" s="5" t="s">
        <v>11</v>
      </c>
      <c r="B2" s="5" t="s">
        <v>4</v>
      </c>
      <c r="C2" s="11">
        <v>45474</v>
      </c>
      <c r="D2" s="12">
        <v>0.92</v>
      </c>
      <c r="E2" s="12">
        <v>0</v>
      </c>
      <c r="F2" s="5">
        <v>10752.75792</v>
      </c>
      <c r="G2" s="5">
        <v>9.2829175510000006</v>
      </c>
    </row>
    <row r="3" spans="1:7" x14ac:dyDescent="0.2">
      <c r="A3" s="5" t="s">
        <v>10</v>
      </c>
      <c r="B3" s="5" t="s">
        <v>4</v>
      </c>
      <c r="C3" s="11">
        <v>45474</v>
      </c>
      <c r="D3" s="12">
        <v>-0.01</v>
      </c>
      <c r="E3" s="12">
        <v>0.01</v>
      </c>
      <c r="F3" s="5">
        <v>10055.016589999999</v>
      </c>
      <c r="G3" s="5">
        <v>9.2158269520000005</v>
      </c>
    </row>
    <row r="4" spans="1:7" x14ac:dyDescent="0.2">
      <c r="A4" s="5" t="s">
        <v>8</v>
      </c>
      <c r="B4" s="5" t="s">
        <v>4</v>
      </c>
      <c r="C4" s="11">
        <v>45444</v>
      </c>
      <c r="D4" s="13">
        <v>0.63</v>
      </c>
      <c r="E4" s="13">
        <v>0.01</v>
      </c>
      <c r="F4" s="5">
        <v>10052.579540000001</v>
      </c>
      <c r="G4" s="5">
        <v>9.2155845509999992</v>
      </c>
    </row>
    <row r="5" spans="1:7" x14ac:dyDescent="0.2">
      <c r="A5" s="5" t="s">
        <v>12</v>
      </c>
      <c r="B5" s="5" t="s">
        <v>4</v>
      </c>
      <c r="C5" s="11">
        <v>45474</v>
      </c>
      <c r="D5" s="12">
        <v>0.99</v>
      </c>
      <c r="E5" s="12">
        <v>0.01</v>
      </c>
      <c r="F5" s="5">
        <v>9920.4047570000002</v>
      </c>
      <c r="G5" s="5">
        <v>9.2023490020000001</v>
      </c>
    </row>
    <row r="6" spans="1:7" x14ac:dyDescent="0.2">
      <c r="A6" s="5" t="s">
        <v>10</v>
      </c>
      <c r="B6" s="5" t="s">
        <v>4</v>
      </c>
      <c r="C6" s="11">
        <v>45444</v>
      </c>
      <c r="D6" s="13">
        <v>-0.01</v>
      </c>
      <c r="E6" s="13">
        <v>0.01</v>
      </c>
      <c r="F6" s="5">
        <v>9857.3459050000001</v>
      </c>
      <c r="G6" s="5">
        <v>9.1959722330000009</v>
      </c>
    </row>
    <row r="7" spans="1:7" x14ac:dyDescent="0.2">
      <c r="A7" s="5" t="s">
        <v>9</v>
      </c>
      <c r="B7" s="5" t="s">
        <v>4</v>
      </c>
      <c r="C7" s="11">
        <v>45374</v>
      </c>
      <c r="D7" s="9">
        <v>0.9</v>
      </c>
      <c r="E7" s="9">
        <v>0.02</v>
      </c>
      <c r="F7" s="5">
        <v>9011.1445839999997</v>
      </c>
      <c r="G7" s="5">
        <v>9.1062173770000001</v>
      </c>
    </row>
    <row r="8" spans="1:7" x14ac:dyDescent="0.2">
      <c r="A8" s="5" t="s">
        <v>6</v>
      </c>
      <c r="B8" s="5" t="s">
        <v>4</v>
      </c>
      <c r="C8" s="11">
        <v>45374</v>
      </c>
      <c r="D8" s="9">
        <v>0.98</v>
      </c>
      <c r="E8" s="9">
        <v>0</v>
      </c>
      <c r="F8" s="5">
        <v>7764.2770840000003</v>
      </c>
      <c r="G8" s="5">
        <v>8.9572886319999991</v>
      </c>
    </row>
    <row r="9" spans="1:7" x14ac:dyDescent="0.2">
      <c r="A9" s="5" t="s">
        <v>5</v>
      </c>
      <c r="B9" s="5" t="s">
        <v>4</v>
      </c>
      <c r="C9" s="11">
        <v>45444</v>
      </c>
      <c r="D9" s="13">
        <v>0.94</v>
      </c>
      <c r="E9" s="13">
        <v>0.01</v>
      </c>
      <c r="F9" s="5">
        <v>7256.2699730000004</v>
      </c>
      <c r="G9" s="5">
        <v>8.8896211980000004</v>
      </c>
    </row>
    <row r="10" spans="1:7" x14ac:dyDescent="0.2">
      <c r="A10" s="5" t="s">
        <v>27</v>
      </c>
      <c r="B10" s="5" t="s">
        <v>4</v>
      </c>
      <c r="C10" s="11">
        <v>45444</v>
      </c>
      <c r="D10" s="13">
        <v>0.99</v>
      </c>
      <c r="E10" s="13">
        <v>0</v>
      </c>
      <c r="F10" s="5">
        <v>6132.4630969999998</v>
      </c>
      <c r="G10" s="5">
        <v>8.7213517580000008</v>
      </c>
    </row>
    <row r="11" spans="1:7" x14ac:dyDescent="0.2">
      <c r="A11" s="5" t="s">
        <v>23</v>
      </c>
      <c r="B11" s="5" t="s">
        <v>4</v>
      </c>
      <c r="C11" s="11">
        <v>45374</v>
      </c>
      <c r="D11" s="9">
        <v>0.83</v>
      </c>
      <c r="E11" s="9">
        <v>7.0000000000000007E-2</v>
      </c>
      <c r="F11" s="5">
        <v>5944.9468040000002</v>
      </c>
      <c r="G11" s="5">
        <v>8.6902968610000002</v>
      </c>
    </row>
    <row r="12" spans="1:7" x14ac:dyDescent="0.2">
      <c r="A12" s="5" t="s">
        <v>5</v>
      </c>
      <c r="B12" s="5" t="s">
        <v>4</v>
      </c>
      <c r="C12" s="11">
        <v>45474</v>
      </c>
      <c r="D12" s="12">
        <v>0.94</v>
      </c>
      <c r="E12" s="12">
        <v>0.06</v>
      </c>
      <c r="F12" s="5">
        <v>5218.1386920000004</v>
      </c>
      <c r="G12" s="5">
        <v>8.5598960450000003</v>
      </c>
    </row>
    <row r="13" spans="1:7" x14ac:dyDescent="0.2">
      <c r="A13" s="5" t="s">
        <v>25</v>
      </c>
      <c r="B13" s="5" t="s">
        <v>4</v>
      </c>
      <c r="C13" s="11">
        <v>45444</v>
      </c>
      <c r="D13" s="13">
        <v>0.8</v>
      </c>
      <c r="E13" s="13">
        <v>0.2</v>
      </c>
      <c r="F13" s="5">
        <v>4925.6896340000003</v>
      </c>
      <c r="G13" s="5">
        <v>8.5022195709999995</v>
      </c>
    </row>
    <row r="14" spans="1:7" x14ac:dyDescent="0.2">
      <c r="A14" s="5" t="s">
        <v>27</v>
      </c>
      <c r="B14" s="5" t="s">
        <v>4</v>
      </c>
      <c r="C14" s="11">
        <v>45474</v>
      </c>
      <c r="D14" s="12">
        <v>0.95</v>
      </c>
      <c r="E14" s="12">
        <v>0.01</v>
      </c>
      <c r="F14" s="5">
        <v>4597.93822</v>
      </c>
      <c r="G14" s="5">
        <v>8.4333632690000009</v>
      </c>
    </row>
    <row r="15" spans="1:7" x14ac:dyDescent="0.2">
      <c r="A15" s="5" t="s">
        <v>6</v>
      </c>
      <c r="B15" s="5" t="s">
        <v>4</v>
      </c>
      <c r="C15" s="11">
        <v>45474</v>
      </c>
      <c r="D15" s="12">
        <v>0.94</v>
      </c>
      <c r="E15" s="12">
        <v>0.02</v>
      </c>
      <c r="F15" s="5">
        <v>4484.3700630000003</v>
      </c>
      <c r="G15" s="5">
        <v>8.4083533100000007</v>
      </c>
    </row>
    <row r="16" spans="1:7" x14ac:dyDescent="0.2">
      <c r="A16" s="5" t="s">
        <v>6</v>
      </c>
      <c r="B16" s="5" t="s">
        <v>4</v>
      </c>
      <c r="C16" s="11">
        <v>45444</v>
      </c>
      <c r="D16" s="13">
        <v>0.94</v>
      </c>
      <c r="E16" s="13">
        <v>0.02</v>
      </c>
      <c r="F16" s="5">
        <v>3082.2954580000001</v>
      </c>
      <c r="G16" s="5">
        <v>8.0334298769999997</v>
      </c>
    </row>
    <row r="17" spans="1:7" x14ac:dyDescent="0.2">
      <c r="A17" s="5" t="s">
        <v>7</v>
      </c>
      <c r="B17" s="5" t="s">
        <v>4</v>
      </c>
      <c r="C17" s="11">
        <v>45374</v>
      </c>
      <c r="D17" s="9">
        <v>0.8</v>
      </c>
      <c r="E17" s="9">
        <v>0.04</v>
      </c>
      <c r="F17" s="5">
        <v>2333.3290350000002</v>
      </c>
      <c r="G17" s="5">
        <v>7.7550512969999996</v>
      </c>
    </row>
    <row r="18" spans="1:7" x14ac:dyDescent="0.2">
      <c r="A18" s="5" t="s">
        <v>23</v>
      </c>
      <c r="B18" s="5" t="s">
        <v>4</v>
      </c>
      <c r="C18" s="11">
        <v>45474</v>
      </c>
      <c r="D18" s="12">
        <v>0.86</v>
      </c>
      <c r="E18" s="12">
        <v>0.04</v>
      </c>
      <c r="F18" s="5">
        <v>2249.9040110000001</v>
      </c>
      <c r="G18" s="5">
        <v>7.7186428329999996</v>
      </c>
    </row>
    <row r="19" spans="1:7" x14ac:dyDescent="0.2">
      <c r="A19" s="5" t="s">
        <v>7</v>
      </c>
      <c r="B19" s="5" t="s">
        <v>4</v>
      </c>
      <c r="C19" s="11">
        <v>45374</v>
      </c>
      <c r="D19" s="9">
        <v>0.97</v>
      </c>
      <c r="E19" s="9">
        <v>0.01</v>
      </c>
      <c r="F19" s="5">
        <v>2095.9030680000001</v>
      </c>
      <c r="G19" s="5">
        <v>7.6477397979999999</v>
      </c>
    </row>
    <row r="20" spans="1:7" x14ac:dyDescent="0.2">
      <c r="A20" s="5" t="s">
        <v>23</v>
      </c>
      <c r="B20" s="5" t="s">
        <v>4</v>
      </c>
      <c r="C20" s="11">
        <v>45444</v>
      </c>
      <c r="D20" s="13">
        <v>0.86</v>
      </c>
      <c r="E20" s="13">
        <v>0.04</v>
      </c>
      <c r="F20" s="5">
        <v>1817.6406280000001</v>
      </c>
      <c r="G20" s="5">
        <v>7.5052945810000002</v>
      </c>
    </row>
    <row r="21" spans="1:7" x14ac:dyDescent="0.2">
      <c r="A21" s="5" t="s">
        <v>25</v>
      </c>
      <c r="B21" s="5" t="s">
        <v>4</v>
      </c>
      <c r="C21" s="11">
        <v>45374</v>
      </c>
      <c r="D21" s="9">
        <v>0.95</v>
      </c>
      <c r="E21" s="9">
        <v>0</v>
      </c>
      <c r="F21" s="5">
        <v>1412.7720380000001</v>
      </c>
      <c r="G21" s="5">
        <v>7.2533090380000003</v>
      </c>
    </row>
    <row r="22" spans="1:7" x14ac:dyDescent="0.2">
      <c r="A22" s="5" t="s">
        <v>27</v>
      </c>
      <c r="B22" s="5" t="s">
        <v>4</v>
      </c>
      <c r="C22" s="11">
        <v>45374</v>
      </c>
      <c r="D22" s="9">
        <v>0.94</v>
      </c>
      <c r="E22" s="9">
        <v>0.02</v>
      </c>
      <c r="F22" s="5">
        <v>696.40938149999999</v>
      </c>
      <c r="G22" s="5">
        <v>6.5459376789999997</v>
      </c>
    </row>
    <row r="23" spans="1:7" x14ac:dyDescent="0.2">
      <c r="A23" s="5" t="s">
        <v>27</v>
      </c>
      <c r="B23" s="5" t="s">
        <v>4</v>
      </c>
      <c r="C23" s="11">
        <v>45374</v>
      </c>
      <c r="D23" s="9">
        <v>0.95</v>
      </c>
      <c r="E23" s="9">
        <v>0.02</v>
      </c>
      <c r="F23" s="5">
        <v>674.57681290000005</v>
      </c>
      <c r="G23" s="5">
        <v>6.5140855499999999</v>
      </c>
    </row>
    <row r="24" spans="1:7" x14ac:dyDescent="0.2">
      <c r="A24" s="5" t="s">
        <v>25</v>
      </c>
      <c r="B24" s="5" t="s">
        <v>4</v>
      </c>
      <c r="C24" s="11">
        <v>44756</v>
      </c>
      <c r="D24" s="9">
        <v>0.81</v>
      </c>
      <c r="E24" s="9">
        <v>0.06</v>
      </c>
      <c r="F24" s="5">
        <v>593.86516400000005</v>
      </c>
      <c r="G24" s="5">
        <v>6.3866522970000004</v>
      </c>
    </row>
    <row r="25" spans="1:7" x14ac:dyDescent="0.2">
      <c r="B25" s="2"/>
      <c r="E25" s="8"/>
      <c r="F25" s="3"/>
      <c r="G25" s="3"/>
    </row>
    <row r="26" spans="1:7" x14ac:dyDescent="0.2">
      <c r="E26" s="8"/>
      <c r="F26" s="3"/>
      <c r="G26" s="3"/>
    </row>
    <row r="27" spans="1:7" x14ac:dyDescent="0.2">
      <c r="E27" s="8"/>
      <c r="F27" s="3"/>
      <c r="G27" s="3"/>
    </row>
    <row r="28" spans="1:7" x14ac:dyDescent="0.2">
      <c r="E28" s="8"/>
      <c r="F28" s="3"/>
      <c r="G28" s="3"/>
    </row>
    <row r="29" spans="1:7" x14ac:dyDescent="0.2">
      <c r="B29" s="2"/>
      <c r="E29" s="4"/>
      <c r="F29" s="6"/>
      <c r="G29" s="6"/>
    </row>
    <row r="30" spans="1:7" x14ac:dyDescent="0.2">
      <c r="A30" s="2"/>
      <c r="B30" s="2"/>
      <c r="E30" s="4"/>
      <c r="F30" s="6"/>
      <c r="G30" s="6"/>
    </row>
    <row r="31" spans="1:7" x14ac:dyDescent="0.2">
      <c r="E31" s="4"/>
      <c r="F31" s="6"/>
      <c r="G31" s="6"/>
    </row>
    <row r="32" spans="1:7" x14ac:dyDescent="0.2">
      <c r="E32" s="4"/>
      <c r="F32" s="6"/>
      <c r="G32" s="6"/>
    </row>
    <row r="33" spans="1:7" x14ac:dyDescent="0.2">
      <c r="B33" s="2"/>
      <c r="E33" s="4"/>
      <c r="F33" s="6"/>
      <c r="G33" s="6"/>
    </row>
    <row r="34" spans="1:7" x14ac:dyDescent="0.2">
      <c r="E34" s="4"/>
      <c r="F34" s="3"/>
      <c r="G34" s="3"/>
    </row>
    <row r="35" spans="1:7" x14ac:dyDescent="0.2">
      <c r="E35" s="4"/>
      <c r="F35" s="3"/>
      <c r="G35" s="3"/>
    </row>
    <row r="36" spans="1:7" x14ac:dyDescent="0.2">
      <c r="E36" s="4"/>
      <c r="F36" s="3"/>
      <c r="G36" s="7"/>
    </row>
    <row r="37" spans="1:7" x14ac:dyDescent="0.2">
      <c r="A37" s="2"/>
      <c r="B37" s="2"/>
      <c r="E37" s="4"/>
      <c r="F37" s="3"/>
      <c r="G37" s="3"/>
    </row>
    <row r="38" spans="1:7" x14ac:dyDescent="0.2">
      <c r="A38" s="2"/>
      <c r="B38" s="2"/>
      <c r="E38" s="4"/>
      <c r="F38" s="3"/>
      <c r="G38" s="3"/>
    </row>
    <row r="39" spans="1:7" x14ac:dyDescent="0.2">
      <c r="E39" s="4"/>
      <c r="F39" s="3"/>
      <c r="G39" s="3"/>
    </row>
    <row r="40" spans="1:7" x14ac:dyDescent="0.2">
      <c r="E40" s="4"/>
      <c r="F40" s="3"/>
      <c r="G40" s="3"/>
    </row>
    <row r="41" spans="1:7" x14ac:dyDescent="0.2">
      <c r="E41" s="4"/>
      <c r="F41" s="3"/>
      <c r="G41" s="3"/>
    </row>
    <row r="42" spans="1:7" x14ac:dyDescent="0.2">
      <c r="E42" s="4"/>
      <c r="F42" s="3"/>
      <c r="G42" s="3"/>
    </row>
    <row r="43" spans="1:7" x14ac:dyDescent="0.2">
      <c r="E43" s="4"/>
      <c r="F43" s="3"/>
      <c r="G43" s="3"/>
    </row>
    <row r="44" spans="1:7" x14ac:dyDescent="0.2">
      <c r="E44" s="4"/>
      <c r="F44" s="3"/>
      <c r="G44" s="3"/>
    </row>
    <row r="45" spans="1:7" x14ac:dyDescent="0.2">
      <c r="B45" s="2"/>
      <c r="E45" s="4"/>
      <c r="F45" s="3"/>
      <c r="G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CytPix</vt:lpstr>
      <vt:lpstr>Guava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Zwiers Cook</dc:creator>
  <cp:lastModifiedBy>Claire Zwiers Cook</cp:lastModifiedBy>
  <dcterms:created xsi:type="dcterms:W3CDTF">2025-06-23T12:56:43Z</dcterms:created>
  <dcterms:modified xsi:type="dcterms:W3CDTF">2026-05-27T15:36:15Z</dcterms:modified>
</cp:coreProperties>
</file>